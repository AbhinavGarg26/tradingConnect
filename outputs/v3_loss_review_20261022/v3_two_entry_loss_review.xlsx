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f735ef929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ss days" sheetId="1" r:id="Rd138ff80df8c4d40"/>
    <x:sheet xmlns:r="http://schemas.openxmlformats.org/officeDocument/2006/relationships" name="Trades" sheetId="2" r:id="R35b42354707f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"/>
    <x:numFmt numFmtId="201" formatCode="hh:mm"/>
    <x:numFmt numFmtId="202" formatCode="#,##0.00;[Red](#,##0.00);0.00"/>
    <x:numFmt numFmtId="203" formatCode="0"/>
  </x:numFmts>
  <x:fonts count="6">
    <x:font>
      <x:sz val="11"/>
      <x:name val="Carlito"/>
    </x:font>
    <x:font>
      <x:sz val="10"/>
      <x:color rgb="FF263244"/>
      <x:name val="Arial"/>
    </x:font>
    <x:font>
      <x:b/>
      <x:sz val="15"/>
      <x:color rgb="FF172C48"/>
      <x:name val="Arial"/>
    </x:font>
    <x:font>
      <x:i/>
      <x:sz val="10"/>
      <x:color rgb="FF526276"/>
      <x:name val="Arial"/>
    </x:font>
    <x:font>
      <x:b/>
      <x:sz val="10"/>
      <x:color rgb="FF9C272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7DF"/>
      </x:patternFill>
    </x:fill>
    <x:fill>
      <x:patternFill patternType="solid">
        <x:fgColor rgb="FF243C5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7D6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/>
    <x:xf numFmtId="202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9C2727"/>
      </x:font>
      <x:fill>
        <x:patternFill patternType="solid">
          <x:bgColor rgb="FFFCE9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e7f703c824a22" /><Relationship Type="http://schemas.openxmlformats.org/officeDocument/2006/relationships/theme" Target="/xl/theme/theme1.xml" Id="Rf757222b2dd84459" /><Relationship Type="http://schemas.openxmlformats.org/officeDocument/2006/relationships/sharedStrings" Target="/xl/sharedStrings.xml" Id="R14bf06fd069243bd" /><Relationship Type="http://schemas.openxmlformats.org/officeDocument/2006/relationships/worksheet" Target="/xl/worksheets/sheet1.xml" Id="Rd138ff80df8c4d40" /><Relationship Type="http://schemas.openxmlformats.org/officeDocument/2006/relationships/worksheet" Target="/xl/worksheets/sheet2.xml" Id="R35b42354707f427d" /></Relationships>
</file>

<file path=xl/tables/table1.xml><?xml version="1.0" encoding="utf-8"?>
<x:table xmlns:x="http://schemas.openxmlformats.org/spreadsheetml/2006/main" id="2" name="V3LossDays" displayName="V3LossDays" ref="A13:I48" headerRowCount="1" totalsRowCount="0" totalsRowShown="0">
  <x:tableColumns count="9">
    <x:tableColumn id="1" name="Date"/>
    <x:tableColumn id="2" name="Trades"/>
    <x:tableColumn id="3" name="CE points"/>
    <x:tableColumn id="4" name="PE points"/>
    <x:tableColumn id="5" name="Net points"/>
    <x:tableColumn id="6" name="Wins"/>
    <x:tableColumn id="7" name="Losses"/>
    <x:tableColumn id="8" name="Review notes"/>
    <x:tableColumn id="9" name="Trade 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V3Trades" displayName="V3Trades" ref="A7:O100" headerRowCount="1" totalsRowCount="0" totalsRowShown="0">
  <x:tableColumns count="15">
    <x:tableColumn id="1" name="Trade ID"/>
    <x:tableColumn id="2" name="Date"/>
    <x:tableColumn id="3" name="Side"/>
    <x:tableColumn id="4" name="Entry IST"/>
    <x:tableColumn id="5" name="Exit IST"/>
    <x:tableColumn id="6" name="Entry index"/>
    <x:tableColumn id="7" name="Exit index"/>
    <x:tableColumn id="8" name="Points"/>
    <x:tableColumn id="9" name="Exit reason"/>
    <x:tableColumn id="10" name="Entry reference"/>
    <x:tableColumn id="11" name="Initial stop"/>
    <x:tableColumn id="12" name="Minutes held"/>
    <x:tableColumn id="13" name="Opening body"/>
    <x:tableColumn id="14" name="Review notes"/>
    <x:tableColumn id="15" name="Daily entry #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aab42458a443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bd90afd07248f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36" hidden="0" customWidth="1"/>
    <x:col min="9" max="9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V3 losing-day review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01 Jul–21 Oct 2026. Stop 25 points. Max 2 entries. Slippage 1 point per side. All times IST.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3" t="str">
        <x:v>Source: replay of cached Kite Nifty 1-minute history; reconciles to 93 trades and +892.70 index points.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3" t="str">
        <x:v>Index-point proxy, not option P&amp;L. Entry times are fills; the signal candle starts one minute earlier.</x:v>
      </x:c>
      <x:c r="B5" s="1"/>
      <x:c r="C5" s="1"/>
      <x:c r="D5" s="1"/>
      <x:c r="E5" s="1"/>
      <x:c r="F5" s="1"/>
      <x:c r="G5" s="1"/>
      <x:c r="H5" s="1"/>
      <x:c r="I5" s="1"/>
    </x:row>
    <x:row r="6">
      <x:c r="A6" s="4"/>
      <x:c r="B6" s="4"/>
      <x:c r="C6" s="4"/>
      <x:c r="D6" s="4"/>
      <x:c r="E6" s="4"/>
      <x:c r="F6" s="4"/>
      <x:c r="G6" s="4"/>
      <x:c r="H6" s="4"/>
      <x:c r="I6" s="4"/>
    </x:row>
    <x:row r="7">
      <x:c r="A7" s="1" t="str">
        <x:v>Net-losing days</x:v>
      </x:c>
      <x:c r="B7" s="1" t="n">
        <x:f>COUNTIFS(E14:E48,"&lt;0")</x:f>
        <x:v>35</x:v>
      </x:c>
      <x:c r="C7" s="1"/>
      <x:c r="D7" s="1"/>
      <x:c r="E7" s="1"/>
      <x:c r="F7" s="1"/>
      <x:c r="G7" s="1"/>
      <x:c r="H7" s="1"/>
      <x:c r="I7" s="1"/>
    </x:row>
    <x:row r="8">
      <x:c r="A8" s="1" t="str">
        <x:v>Losing trades</x:v>
      </x:c>
      <x:c r="B8" s="1" t="n">
        <x:f>COUNTIFS('Trades'!H8:H100,"&lt;0")</x:f>
        <x:v>73</x:v>
      </x:c>
      <x:c r="C8" s="1"/>
      <x:c r="D8" s="1"/>
      <x:c r="E8" s="1"/>
      <x:c r="F8" s="1"/>
      <x:c r="G8" s="1"/>
      <x:c r="H8" s="1"/>
      <x:c r="I8" s="1"/>
    </x:row>
    <x:row r="9">
      <x:c r="A9" s="1" t="str">
        <x:v>All-trade net points</x:v>
      </x:c>
      <x:c r="B9" s="7" t="n">
        <x:f>SUM('Trades'!H8:H100)</x:f>
        <x:v>892.7000000000044</x:v>
      </x:c>
      <x:c r="C9" s="1"/>
      <x:c r="D9" s="1"/>
      <x:c r="E9" s="1"/>
      <x:c r="F9" s="1"/>
      <x:c r="G9" s="1"/>
      <x:c r="H9" s="1"/>
      <x:c r="I9" s="1"/>
    </x:row>
    <x:row r="10">
      <x:c r="A10" s="3" t="str">
        <x:v>Below: net-losing days, worst first. Trades tab contains all 93 trades; filter Points below zero for every losing trade.</x:v>
      </x:c>
      <x:c r="B10" s="1"/>
      <x:c r="C10" s="1"/>
      <x:c r="D10" s="1"/>
      <x:c r="E10" s="1"/>
      <x:c r="F10" s="1"/>
      <x:c r="G10" s="1"/>
      <x:c r="H10" s="1"/>
      <x:c r="I10" s="1"/>
    </x:row>
    <x:row r="11">
      <x:c r="A11" s="3" t="str">
        <x:v>Review notes are editable. Trade IDs link each day to its rows in Trades. Frozen V3 logic has not been changed.</x:v>
      </x:c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6" t="str">
        <x:v>Date</x:v>
      </x:c>
      <x:c r="B13" s="16" t="str">
        <x:v>Trades</x:v>
      </x:c>
      <x:c r="C13" s="16" t="str">
        <x:v>CE points</x:v>
      </x:c>
      <x:c r="D13" s="16" t="str">
        <x:v>PE points</x:v>
      </x:c>
      <x:c r="E13" s="16" t="str">
        <x:v>Net points</x:v>
      </x:c>
      <x:c r="F13" s="16" t="str">
        <x:v>Wins</x:v>
      </x:c>
      <x:c r="G13" s="16" t="str">
        <x:v>Losses</x:v>
      </x:c>
      <x:c r="H13" s="16" t="str">
        <x:v>Review notes</x:v>
      </x:c>
      <x:c r="I13" s="16" t="str">
        <x:v>Trade IDs</x:v>
      </x:c>
    </x:row>
    <x:row r="14" ht="23" customHeight="1">
      <x:c r="A14" s="5" t="d">
        <x:v>2026-08-31T00:00:00.000Z</x:v>
      </x:c>
      <x:c r="B14" s="1" t="n">
        <x:f>COUNTIFS('Trades'!$B$8:$B$100,A14)</x:f>
        <x:v>2</x:v>
      </x:c>
      <x:c r="C14" s="7" t="n">
        <x:f>SUMIFS('Trades'!$H$8:$H$100,'Trades'!$B$8:$B$100,A14,'Trades'!$C$8:$C$100,"CE")</x:f>
        <x:v>-15.19999999999709</x:v>
      </x:c>
      <x:c r="D14" s="7" t="n">
        <x:f>SUMIFS('Trades'!$H$8:$H$100,'Trades'!$B$8:$B$100,A14,'Trades'!$C$8:$C$100,"PE")</x:f>
        <x:v>-47.95000000000073</x:v>
      </x:c>
      <x:c r="E14" s="11" t="n">
        <x:f>SUM(C14:D14)</x:f>
        <x:v>-63.14999999999782</x:v>
      </x:c>
      <x:c r="F14" s="1" t="n">
        <x:f>COUNTIFS('Trades'!$B$8:$B$100,A14,'Trades'!$H$8:$H$100,"&gt;0")</x:f>
        <x:v>0</x:v>
      </x:c>
      <x:c r="G14" s="1" t="n">
        <x:f>COUNTIFS('Trades'!$B$8:$B$100,A14,'Trades'!$H$8:$H$100,"&lt;0")</x:f>
        <x:v>2</x:v>
      </x:c>
      <x:c r="H14" s="10" t="str"/>
      <x:c r="I14" s="1" t="str">
        <x:v>T054, T055</x:v>
      </x:c>
    </x:row>
    <x:row r="15" ht="23" customHeight="1">
      <x:c r="A15" s="5" t="d">
        <x:v>2026-09-29T00:00:00.000Z</x:v>
      </x:c>
      <x:c r="B15" s="1" t="n">
        <x:f>COUNTIFS('Trades'!$B$8:$B$100,A15)</x:f>
        <x:v>2</x:v>
      </x:c>
      <x:c r="C15" s="7" t="n">
        <x:f>SUMIFS('Trades'!$H$8:$H$100,'Trades'!$B$8:$B$100,A15,'Trades'!$C$8:$C$100,"CE")</x:f>
        <x:v>-16.850000000002183</x:v>
      </x:c>
      <x:c r="D15" s="7" t="n">
        <x:f>SUMIFS('Trades'!$H$8:$H$100,'Trades'!$B$8:$B$100,A15,'Trades'!$C$8:$C$100,"PE")</x:f>
        <x:v>-39.89999999999782</x:v>
      </x:c>
      <x:c r="E15" s="11" t="n">
        <x:f>SUM(C15:D15)</x:f>
        <x:v>-56.75</x:v>
      </x:c>
      <x:c r="F15" s="1" t="n">
        <x:f>COUNTIFS('Trades'!$B$8:$B$100,A15,'Trades'!$H$8:$H$100,"&gt;0")</x:f>
        <x:v>0</x:v>
      </x:c>
      <x:c r="G15" s="1" t="n">
        <x:f>COUNTIFS('Trades'!$B$8:$B$100,A15,'Trades'!$H$8:$H$100,"&lt;0")</x:f>
        <x:v>2</x:v>
      </x:c>
      <x:c r="H15" s="10" t="str"/>
      <x:c r="I15" s="1" t="str">
        <x:v>T077, T078</x:v>
      </x:c>
    </x:row>
    <x:row r="16" ht="23" customHeight="1">
      <x:c r="A16" s="5" t="d">
        <x:v>2026-10-07T00:00:00.000Z</x:v>
      </x:c>
      <x:c r="B16" s="1" t="n">
        <x:f>COUNTIFS('Trades'!$B$8:$B$100,A16)</x:f>
        <x:v>2</x:v>
      </x:c>
      <x:c r="C16" s="7" t="n">
        <x:f>SUMIFS('Trades'!$H$8:$H$100,'Trades'!$B$8:$B$100,A16,'Trades'!$C$8:$C$100,"CE")</x:f>
        <x:v>-20.400000000001455</x:v>
      </x:c>
      <x:c r="D16" s="7" t="n">
        <x:f>SUMIFS('Trades'!$H$8:$H$100,'Trades'!$B$8:$B$100,A16,'Trades'!$C$8:$C$100,"PE")</x:f>
        <x:v>-31.650000000001455</x:v>
      </x:c>
      <x:c r="E16" s="11" t="n">
        <x:f>SUM(C16:D16)</x:f>
        <x:v>-52.05000000000291</x:v>
      </x:c>
      <x:c r="F16" s="1" t="n">
        <x:f>COUNTIFS('Trades'!$B$8:$B$100,A16,'Trades'!$H$8:$H$100,"&gt;0")</x:f>
        <x:v>0</x:v>
      </x:c>
      <x:c r="G16" s="1" t="n">
        <x:f>COUNTIFS('Trades'!$B$8:$B$100,A16,'Trades'!$H$8:$H$100,"&lt;0")</x:f>
        <x:v>2</x:v>
      </x:c>
      <x:c r="H16" s="10" t="str"/>
      <x:c r="I16" s="1" t="str">
        <x:v>T083, T084</x:v>
      </x:c>
    </x:row>
    <x:row r="17" ht="23" customHeight="1">
      <x:c r="A17" s="5" t="d">
        <x:v>2026-07-28T00:00:00.000Z</x:v>
      </x:c>
      <x:c r="B17" s="1" t="n">
        <x:f>COUNTIFS('Trades'!$B$8:$B$100,A17)</x:f>
        <x:v>2</x:v>
      </x:c>
      <x:c r="C17" s="7" t="n">
        <x:f>SUMIFS('Trades'!$H$8:$H$100,'Trades'!$B$8:$B$100,A17,'Trades'!$C$8:$C$100,"CE")</x:f>
        <x:v>-48.14999999999782</x:v>
      </x:c>
      <x:c r="D17" s="7" t="n">
        <x:f>SUMIFS('Trades'!$H$8:$H$100,'Trades'!$B$8:$B$100,A17,'Trades'!$C$8:$C$100,"PE")</x:f>
        <x:v>0</x:v>
      </x:c>
      <x:c r="E17" s="11" t="n">
        <x:f>SUM(C17:D17)</x:f>
        <x:v>-48.14999999999782</x:v>
      </x:c>
      <x:c r="F17" s="1" t="n">
        <x:f>COUNTIFS('Trades'!$B$8:$B$100,A17,'Trades'!$H$8:$H$100,"&gt;0")</x:f>
        <x:v>0</x:v>
      </x:c>
      <x:c r="G17" s="1" t="n">
        <x:f>COUNTIFS('Trades'!$B$8:$B$100,A17,'Trades'!$H$8:$H$100,"&lt;0")</x:f>
        <x:v>2</x:v>
      </x:c>
      <x:c r="H17" s="10" t="str"/>
      <x:c r="I17" s="1" t="str">
        <x:v>T025, T026</x:v>
      </x:c>
    </x:row>
    <x:row r="18" ht="23" customHeight="1">
      <x:c r="A18" s="5" t="d">
        <x:v>2026-08-10T00:00:00.000Z</x:v>
      </x:c>
      <x:c r="B18" s="1" t="n">
        <x:f>COUNTIFS('Trades'!$B$8:$B$100,A18)</x:f>
        <x:v>2</x:v>
      </x:c>
      <x:c r="C18" s="7" t="n">
        <x:f>SUMIFS('Trades'!$H$8:$H$100,'Trades'!$B$8:$B$100,A18,'Trades'!$C$8:$C$100,"CE")</x:f>
        <x:v>0</x:v>
      </x:c>
      <x:c r="D18" s="7" t="n">
        <x:f>SUMIFS('Trades'!$H$8:$H$100,'Trades'!$B$8:$B$100,A18,'Trades'!$C$8:$C$100,"PE")</x:f>
        <x:v>-45.54999999999927</x:v>
      </x:c>
      <x:c r="E18" s="11" t="n">
        <x:f>SUM(C18:D18)</x:f>
        <x:v>-45.54999999999927</x:v>
      </x:c>
      <x:c r="F18" s="1" t="n">
        <x:f>COUNTIFS('Trades'!$B$8:$B$100,A18,'Trades'!$H$8:$H$100,"&gt;0")</x:f>
        <x:v>0</x:v>
      </x:c>
      <x:c r="G18" s="1" t="n">
        <x:f>COUNTIFS('Trades'!$B$8:$B$100,A18,'Trades'!$H$8:$H$100,"&lt;0")</x:f>
        <x:v>2</x:v>
      </x:c>
      <x:c r="H18" s="10" t="str"/>
      <x:c r="I18" s="1" t="str">
        <x:v>T034, T035</x:v>
      </x:c>
    </x:row>
    <x:row r="19" ht="23" customHeight="1">
      <x:c r="A19" s="5" t="d">
        <x:v>2026-08-25T00:00:00.000Z</x:v>
      </x:c>
      <x:c r="B19" s="1" t="n">
        <x:f>COUNTIFS('Trades'!$B$8:$B$100,A19)</x:f>
        <x:v>2</x:v>
      </x:c>
      <x:c r="C19" s="7" t="n">
        <x:f>SUMIFS('Trades'!$H$8:$H$100,'Trades'!$B$8:$B$100,A19,'Trades'!$C$8:$C$100,"CE")</x:f>
        <x:v>0</x:v>
      </x:c>
      <x:c r="D19" s="7" t="n">
        <x:f>SUMIFS('Trades'!$H$8:$H$100,'Trades'!$B$8:$B$100,A19,'Trades'!$C$8:$C$100,"PE")</x:f>
        <x:v>-43.29999999999927</x:v>
      </x:c>
      <x:c r="E19" s="11" t="n">
        <x:f>SUM(C19:D19)</x:f>
        <x:v>-43.29999999999927</x:v>
      </x:c>
      <x:c r="F19" s="1" t="n">
        <x:f>COUNTIFS('Trades'!$B$8:$B$100,A19,'Trades'!$H$8:$H$100,"&gt;0")</x:f>
        <x:v>0</x:v>
      </x:c>
      <x:c r="G19" s="1" t="n">
        <x:f>COUNTIFS('Trades'!$B$8:$B$100,A19,'Trades'!$H$8:$H$100,"&lt;0")</x:f>
        <x:v>2</x:v>
      </x:c>
      <x:c r="H19" s="10" t="str"/>
      <x:c r="I19" s="1" t="str">
        <x:v>T047, T048</x:v>
      </x:c>
    </x:row>
    <x:row r="20" ht="23" customHeight="1">
      <x:c r="A20" s="5" t="d">
        <x:v>2026-08-13T00:00:00.000Z</x:v>
      </x:c>
      <x:c r="B20" s="1" t="n">
        <x:f>COUNTIFS('Trades'!$B$8:$B$100,A20)</x:f>
        <x:v>2</x:v>
      </x:c>
      <x:c r="C20" s="7" t="n">
        <x:f>SUMIFS('Trades'!$H$8:$H$100,'Trades'!$B$8:$B$100,A20,'Trades'!$C$8:$C$100,"CE")</x:f>
        <x:v>-12.099999999998545</x:v>
      </x:c>
      <x:c r="D20" s="7" t="n">
        <x:f>SUMIFS('Trades'!$H$8:$H$100,'Trades'!$B$8:$B$100,A20,'Trades'!$C$8:$C$100,"PE")</x:f>
        <x:v>-30.100000000002183</x:v>
      </x:c>
      <x:c r="E20" s="11" t="n">
        <x:f>SUM(C20:D20)</x:f>
        <x:v>-42.20000000000073</x:v>
      </x:c>
      <x:c r="F20" s="1" t="n">
        <x:f>COUNTIFS('Trades'!$B$8:$B$100,A20,'Trades'!$H$8:$H$100,"&gt;0")</x:f>
        <x:v>0</x:v>
      </x:c>
      <x:c r="G20" s="1" t="n">
        <x:f>COUNTIFS('Trades'!$B$8:$B$100,A20,'Trades'!$H$8:$H$100,"&lt;0")</x:f>
        <x:v>2</x:v>
      </x:c>
      <x:c r="H20" s="10" t="str"/>
      <x:c r="I20" s="1" t="str">
        <x:v>T038, T039</x:v>
      </x:c>
    </x:row>
    <x:row r="21" ht="23" customHeight="1">
      <x:c r="A21" s="5" t="d">
        <x:v>2026-09-30T00:00:00.000Z</x:v>
      </x:c>
      <x:c r="B21" s="1" t="n">
        <x:f>COUNTIFS('Trades'!$B$8:$B$100,A21)</x:f>
        <x:v>2</x:v>
      </x:c>
      <x:c r="C21" s="7" t="n">
        <x:f>SUMIFS('Trades'!$H$8:$H$100,'Trades'!$B$8:$B$100,A21,'Trades'!$C$8:$C$100,"CE")</x:f>
        <x:v>-40.95000000000073</x:v>
      </x:c>
      <x:c r="D21" s="7" t="n">
        <x:f>SUMIFS('Trades'!$H$8:$H$100,'Trades'!$B$8:$B$100,A21,'Trades'!$C$8:$C$100,"PE")</x:f>
        <x:v>0</x:v>
      </x:c>
      <x:c r="E21" s="11" t="n">
        <x:f>SUM(C21:D21)</x:f>
        <x:v>-40.95000000000073</x:v>
      </x:c>
      <x:c r="F21" s="1" t="n">
        <x:f>COUNTIFS('Trades'!$B$8:$B$100,A21,'Trades'!$H$8:$H$100,"&gt;0")</x:f>
        <x:v>0</x:v>
      </x:c>
      <x:c r="G21" s="1" t="n">
        <x:f>COUNTIFS('Trades'!$B$8:$B$100,A21,'Trades'!$H$8:$H$100,"&lt;0")</x:f>
        <x:v>2</x:v>
      </x:c>
      <x:c r="H21" s="10" t="str"/>
      <x:c r="I21" s="1" t="str">
        <x:v>T079, T080</x:v>
      </x:c>
    </x:row>
    <x:row r="22" ht="23" customHeight="1">
      <x:c r="A22" s="5" t="d">
        <x:v>2026-07-15T00:00:00.000Z</x:v>
      </x:c>
      <x:c r="B22" s="1" t="n">
        <x:f>COUNTIFS('Trades'!$B$8:$B$100,A22)</x:f>
        <x:v>2</x:v>
      </x:c>
      <x:c r="C22" s="7" t="n">
        <x:f>SUMIFS('Trades'!$H$8:$H$100,'Trades'!$B$8:$B$100,A22,'Trades'!$C$8:$C$100,"CE")</x:f>
        <x:v>-40.75</x:v>
      </x:c>
      <x:c r="D22" s="7" t="n">
        <x:f>SUMIFS('Trades'!$H$8:$H$100,'Trades'!$B$8:$B$100,A22,'Trades'!$C$8:$C$100,"PE")</x:f>
        <x:v>0</x:v>
      </x:c>
      <x:c r="E22" s="11" t="n">
        <x:f>SUM(C22:D22)</x:f>
        <x:v>-40.75</x:v>
      </x:c>
      <x:c r="F22" s="1" t="n">
        <x:f>COUNTIFS('Trades'!$B$8:$B$100,A22,'Trades'!$H$8:$H$100,"&gt;0")</x:f>
        <x:v>0</x:v>
      </x:c>
      <x:c r="G22" s="1" t="n">
        <x:f>COUNTIFS('Trades'!$B$8:$B$100,A22,'Trades'!$H$8:$H$100,"&lt;0")</x:f>
        <x:v>2</x:v>
      </x:c>
      <x:c r="H22" s="10" t="str"/>
      <x:c r="I22" s="1" t="str">
        <x:v>T016, T017</x:v>
      </x:c>
    </x:row>
    <x:row r="23" ht="23" customHeight="1">
      <x:c r="A23" s="5" t="d">
        <x:v>2026-10-05T00:00:00.000Z</x:v>
      </x:c>
      <x:c r="B23" s="1" t="n">
        <x:f>COUNTIFS('Trades'!$B$8:$B$100,A23)</x:f>
        <x:v>2</x:v>
      </x:c>
      <x:c r="C23" s="7" t="n">
        <x:f>SUMIFS('Trades'!$H$8:$H$100,'Trades'!$B$8:$B$100,A23,'Trades'!$C$8:$C$100,"CE")</x:f>
        <x:v>-25.799999999999272</x:v>
      </x:c>
      <x:c r="D23" s="7" t="n">
        <x:f>SUMIFS('Trades'!$H$8:$H$100,'Trades'!$B$8:$B$100,A23,'Trades'!$C$8:$C$100,"PE")</x:f>
        <x:v>-14.049999999999272</x:v>
      </x:c>
      <x:c r="E23" s="11" t="n">
        <x:f>SUM(C23:D23)</x:f>
        <x:v>-39.849999999998545</x:v>
      </x:c>
      <x:c r="F23" s="1" t="n">
        <x:f>COUNTIFS('Trades'!$B$8:$B$100,A23,'Trades'!$H$8:$H$100,"&gt;0")</x:f>
        <x:v>0</x:v>
      </x:c>
      <x:c r="G23" s="1" t="n">
        <x:f>COUNTIFS('Trades'!$B$8:$B$100,A23,'Trades'!$H$8:$H$100,"&lt;0")</x:f>
        <x:v>2</x:v>
      </x:c>
      <x:c r="H23" s="10" t="str"/>
      <x:c r="I23" s="1" t="str">
        <x:v>T081, T082</x:v>
      </x:c>
    </x:row>
    <x:row r="24" ht="23" customHeight="1">
      <x:c r="A24" s="5" t="d">
        <x:v>2026-09-08T00:00:00.000Z</x:v>
      </x:c>
      <x:c r="B24" s="1" t="n">
        <x:f>COUNTIFS('Trades'!$B$8:$B$100,A24)</x:f>
        <x:v>2</x:v>
      </x:c>
      <x:c r="C24" s="7" t="n">
        <x:f>SUMIFS('Trades'!$H$8:$H$100,'Trades'!$B$8:$B$100,A24,'Trades'!$C$8:$C$100,"CE")</x:f>
        <x:v>0</x:v>
      </x:c>
      <x:c r="D24" s="7" t="n">
        <x:f>SUMIFS('Trades'!$H$8:$H$100,'Trades'!$B$8:$B$100,A24,'Trades'!$C$8:$C$100,"PE")</x:f>
        <x:v>-38.79999999999927</x:v>
      </x:c>
      <x:c r="E24" s="11" t="n">
        <x:f>SUM(C24:D24)</x:f>
        <x:v>-38.79999999999927</x:v>
      </x:c>
      <x:c r="F24" s="1" t="n">
        <x:f>COUNTIFS('Trades'!$B$8:$B$100,A24,'Trades'!$H$8:$H$100,"&gt;0")</x:f>
        <x:v>0</x:v>
      </x:c>
      <x:c r="G24" s="1" t="n">
        <x:f>COUNTIFS('Trades'!$B$8:$B$100,A24,'Trades'!$H$8:$H$100,"&lt;0")</x:f>
        <x:v>2</x:v>
      </x:c>
      <x:c r="H24" s="10" t="str"/>
      <x:c r="I24" s="1" t="str">
        <x:v>T059, T060</x:v>
      </x:c>
    </x:row>
    <x:row r="25" ht="23" customHeight="1">
      <x:c r="A25" s="5" t="d">
        <x:v>2026-07-02T00:00:00.000Z</x:v>
      </x:c>
      <x:c r="B25" s="1" t="n">
        <x:f>COUNTIFS('Trades'!$B$8:$B$100,A25)</x:f>
        <x:v>2</x:v>
      </x:c>
      <x:c r="C25" s="7" t="n">
        <x:f>SUMIFS('Trades'!$H$8:$H$100,'Trades'!$B$8:$B$100,A25,'Trades'!$C$8:$C$100,"CE")</x:f>
        <x:v>-38.04999999999927</x:v>
      </x:c>
      <x:c r="D25" s="7" t="n">
        <x:f>SUMIFS('Trades'!$H$8:$H$100,'Trades'!$B$8:$B$100,A25,'Trades'!$C$8:$C$100,"PE")</x:f>
        <x:v>0</x:v>
      </x:c>
      <x:c r="E25" s="11" t="n">
        <x:f>SUM(C25:D25)</x:f>
        <x:v>-38.04999999999927</x:v>
      </x:c>
      <x:c r="F25" s="1" t="n">
        <x:f>COUNTIFS('Trades'!$B$8:$B$100,A25,'Trades'!$H$8:$H$100,"&gt;0")</x:f>
        <x:v>0</x:v>
      </x:c>
      <x:c r="G25" s="1" t="n">
        <x:f>COUNTIFS('Trades'!$B$8:$B$100,A25,'Trades'!$H$8:$H$100,"&lt;0")</x:f>
        <x:v>2</x:v>
      </x:c>
      <x:c r="H25" s="10" t="str"/>
      <x:c r="I25" s="1" t="str">
        <x:v>T002, T003</x:v>
      </x:c>
    </x:row>
    <x:row r="26" ht="23" customHeight="1">
      <x:c r="A26" s="5" t="d">
        <x:v>2026-07-10T00:00:00.000Z</x:v>
      </x:c>
      <x:c r="B26" s="1" t="n">
        <x:f>COUNTIFS('Trades'!$B$8:$B$100,A26)</x:f>
        <x:v>2</x:v>
      </x:c>
      <x:c r="C26" s="7" t="n">
        <x:f>SUMIFS('Trades'!$H$8:$H$100,'Trades'!$B$8:$B$100,A26,'Trades'!$C$8:$C$100,"CE")</x:f>
        <x:v>-33.74999999999636</x:v>
      </x:c>
      <x:c r="D26" s="7" t="n">
        <x:f>SUMIFS('Trades'!$H$8:$H$100,'Trades'!$B$8:$B$100,A26,'Trades'!$C$8:$C$100,"PE")</x:f>
        <x:v>0</x:v>
      </x:c>
      <x:c r="E26" s="11" t="n">
        <x:f>SUM(C26:D26)</x:f>
        <x:v>-33.74999999999636</x:v>
      </x:c>
      <x:c r="F26" s="1" t="n">
        <x:f>COUNTIFS('Trades'!$B$8:$B$100,A26,'Trades'!$H$8:$H$100,"&gt;0")</x:f>
        <x:v>0</x:v>
      </x:c>
      <x:c r="G26" s="1" t="n">
        <x:f>COUNTIFS('Trades'!$B$8:$B$100,A26,'Trades'!$H$8:$H$100,"&lt;0")</x:f>
        <x:v>2</x:v>
      </x:c>
      <x:c r="H26" s="10" t="str"/>
      <x:c r="I26" s="1" t="str">
        <x:v>T011, T012</x:v>
      </x:c>
    </x:row>
    <x:row r="27" ht="23" customHeight="1">
      <x:c r="A27" s="5" t="d">
        <x:v>2026-07-09T00:00:00.000Z</x:v>
      </x:c>
      <x:c r="B27" s="1" t="n">
        <x:f>COUNTIFS('Trades'!$B$8:$B$100,A27)</x:f>
        <x:v>2</x:v>
      </x:c>
      <x:c r="C27" s="7" t="n">
        <x:f>SUMIFS('Trades'!$H$8:$H$100,'Trades'!$B$8:$B$100,A27,'Trades'!$C$8:$C$100,"CE")</x:f>
        <x:v>-33.54999999999927</x:v>
      </x:c>
      <x:c r="D27" s="7" t="n">
        <x:f>SUMIFS('Trades'!$H$8:$H$100,'Trades'!$B$8:$B$100,A27,'Trades'!$C$8:$C$100,"PE")</x:f>
        <x:v>0</x:v>
      </x:c>
      <x:c r="E27" s="11" t="n">
        <x:f>SUM(C27:D27)</x:f>
        <x:v>-33.54999999999927</x:v>
      </x:c>
      <x:c r="F27" s="1" t="n">
        <x:f>COUNTIFS('Trades'!$B$8:$B$100,A27,'Trades'!$H$8:$H$100,"&gt;0")</x:f>
        <x:v>0</x:v>
      </x:c>
      <x:c r="G27" s="1" t="n">
        <x:f>COUNTIFS('Trades'!$B$8:$B$100,A27,'Trades'!$H$8:$H$100,"&lt;0")</x:f>
        <x:v>2</x:v>
      </x:c>
      <x:c r="H27" s="10" t="str"/>
      <x:c r="I27" s="1" t="str">
        <x:v>T009, T010</x:v>
      </x:c>
    </x:row>
    <x:row r="28" ht="23" customHeight="1">
      <x:c r="A28" s="5" t="d">
        <x:v>2026-09-21T00:00:00.000Z</x:v>
      </x:c>
      <x:c r="B28" s="1" t="n">
        <x:f>COUNTIFS('Trades'!$B$8:$B$100,A28)</x:f>
        <x:v>2</x:v>
      </x:c>
      <x:c r="C28" s="7" t="n">
        <x:f>SUMIFS('Trades'!$H$8:$H$100,'Trades'!$B$8:$B$100,A28,'Trades'!$C$8:$C$100,"CE")</x:f>
        <x:v>-33.5</x:v>
      </x:c>
      <x:c r="D28" s="7" t="n">
        <x:f>SUMIFS('Trades'!$H$8:$H$100,'Trades'!$B$8:$B$100,A28,'Trades'!$C$8:$C$100,"PE")</x:f>
        <x:v>0</x:v>
      </x:c>
      <x:c r="E28" s="11" t="n">
        <x:f>SUM(C28:D28)</x:f>
        <x:v>-33.5</x:v>
      </x:c>
      <x:c r="F28" s="1" t="n">
        <x:f>COUNTIFS('Trades'!$B$8:$B$100,A28,'Trades'!$H$8:$H$100,"&gt;0")</x:f>
        <x:v>0</x:v>
      </x:c>
      <x:c r="G28" s="1" t="n">
        <x:f>COUNTIFS('Trades'!$B$8:$B$100,A28,'Trades'!$H$8:$H$100,"&lt;0")</x:f>
        <x:v>2</x:v>
      </x:c>
      <x:c r="H28" s="10" t="str"/>
      <x:c r="I28" s="1" t="str">
        <x:v>T072, T073</x:v>
      </x:c>
    </x:row>
    <x:row r="29" ht="23" customHeight="1">
      <x:c r="A29" s="5" t="d">
        <x:v>2026-08-05T00:00:00.000Z</x:v>
      </x:c>
      <x:c r="B29" s="1" t="n">
        <x:f>COUNTIFS('Trades'!$B$8:$B$100,A29)</x:f>
        <x:v>2</x:v>
      </x:c>
      <x:c r="C29" s="7" t="n">
        <x:f>SUMIFS('Trades'!$H$8:$H$100,'Trades'!$B$8:$B$100,A29,'Trades'!$C$8:$C$100,"CE")</x:f>
        <x:v>-4.899999999997817</x:v>
      </x:c>
      <x:c r="D29" s="7" t="n">
        <x:f>SUMIFS('Trades'!$H$8:$H$100,'Trades'!$B$8:$B$100,A29,'Trades'!$C$8:$C$100,"PE")</x:f>
        <x:v>-28.25</x:v>
      </x:c>
      <x:c r="E29" s="11" t="n">
        <x:f>SUM(C29:D29)</x:f>
        <x:v>-33.14999999999782</x:v>
      </x:c>
      <x:c r="F29" s="1" t="n">
        <x:f>COUNTIFS('Trades'!$B$8:$B$100,A29,'Trades'!$H$8:$H$100,"&gt;0")</x:f>
        <x:v>0</x:v>
      </x:c>
      <x:c r="G29" s="1" t="n">
        <x:f>COUNTIFS('Trades'!$B$8:$B$100,A29,'Trades'!$H$8:$H$100,"&lt;0")</x:f>
        <x:v>2</x:v>
      </x:c>
      <x:c r="H29" s="10" t="str"/>
      <x:c r="I29" s="1" t="str">
        <x:v>T030, T031</x:v>
      </x:c>
    </x:row>
    <x:row r="30" ht="23" customHeight="1">
      <x:c r="A30" s="5" t="d">
        <x:v>2026-08-28T00:00:00.000Z</x:v>
      </x:c>
      <x:c r="B30" s="1" t="n">
        <x:f>COUNTIFS('Trades'!$B$8:$B$100,A30)</x:f>
        <x:v>2</x:v>
      </x:c>
      <x:c r="C30" s="7" t="n">
        <x:f>SUMIFS('Trades'!$H$8:$H$100,'Trades'!$B$8:$B$100,A30,'Trades'!$C$8:$C$100,"CE")</x:f>
        <x:v>-32.5</x:v>
      </x:c>
      <x:c r="D30" s="7" t="n">
        <x:f>SUMIFS('Trades'!$H$8:$H$100,'Trades'!$B$8:$B$100,A30,'Trades'!$C$8:$C$100,"PE")</x:f>
        <x:v>0</x:v>
      </x:c>
      <x:c r="E30" s="11" t="n">
        <x:f>SUM(C30:D30)</x:f>
        <x:v>-32.5</x:v>
      </x:c>
      <x:c r="F30" s="1" t="n">
        <x:f>COUNTIFS('Trades'!$B$8:$B$100,A30,'Trades'!$H$8:$H$100,"&gt;0")</x:f>
        <x:v>0</x:v>
      </x:c>
      <x:c r="G30" s="1" t="n">
        <x:f>COUNTIFS('Trades'!$B$8:$B$100,A30,'Trades'!$H$8:$H$100,"&lt;0")</x:f>
        <x:v>2</x:v>
      </x:c>
      <x:c r="H30" s="10" t="str"/>
      <x:c r="I30" s="1" t="str">
        <x:v>T052, T053</x:v>
      </x:c>
    </x:row>
    <x:row r="31" ht="23" customHeight="1">
      <x:c r="A31" s="5" t="d">
        <x:v>2026-08-07T00:00:00.000Z</x:v>
      </x:c>
      <x:c r="B31" s="1" t="n">
        <x:f>COUNTIFS('Trades'!$B$8:$B$100,A31)</x:f>
        <x:v>2</x:v>
      </x:c>
      <x:c r="C31" s="7" t="n">
        <x:f>SUMIFS('Trades'!$H$8:$H$100,'Trades'!$B$8:$B$100,A31,'Trades'!$C$8:$C$100,"CE")</x:f>
        <x:v>-32.45000000000073</x:v>
      </x:c>
      <x:c r="D31" s="7" t="n">
        <x:f>SUMIFS('Trades'!$H$8:$H$100,'Trades'!$B$8:$B$100,A31,'Trades'!$C$8:$C$100,"PE")</x:f>
        <x:v>0</x:v>
      </x:c>
      <x:c r="E31" s="11" t="n">
        <x:f>SUM(C31:D31)</x:f>
        <x:v>-32.45000000000073</x:v>
      </x:c>
      <x:c r="F31" s="1" t="n">
        <x:f>COUNTIFS('Trades'!$B$8:$B$100,A31,'Trades'!$H$8:$H$100,"&gt;0")</x:f>
        <x:v>0</x:v>
      </x:c>
      <x:c r="G31" s="1" t="n">
        <x:f>COUNTIFS('Trades'!$B$8:$B$100,A31,'Trades'!$H$8:$H$100,"&lt;0")</x:f>
        <x:v>2</x:v>
      </x:c>
      <x:c r="H31" s="10" t="str"/>
      <x:c r="I31" s="1" t="str">
        <x:v>T032, T033</x:v>
      </x:c>
    </x:row>
    <x:row r="32" ht="23" customHeight="1">
      <x:c r="A32" s="5" t="d">
        <x:v>2026-09-01T00:00:00.000Z</x:v>
      </x:c>
      <x:c r="B32" s="1" t="n">
        <x:f>COUNTIFS('Trades'!$B$8:$B$100,A32)</x:f>
        <x:v>2</x:v>
      </x:c>
      <x:c r="C32" s="7" t="n">
        <x:f>SUMIFS('Trades'!$H$8:$H$100,'Trades'!$B$8:$B$100,A32,'Trades'!$C$8:$C$100,"CE")</x:f>
        <x:v>0</x:v>
      </x:c>
      <x:c r="D32" s="7" t="n">
        <x:f>SUMIFS('Trades'!$H$8:$H$100,'Trades'!$B$8:$B$100,A32,'Trades'!$C$8:$C$100,"PE")</x:f>
        <x:v>-31.5</x:v>
      </x:c>
      <x:c r="E32" s="11" t="n">
        <x:f>SUM(C32:D32)</x:f>
        <x:v>-31.5</x:v>
      </x:c>
      <x:c r="F32" s="1" t="n">
        <x:f>COUNTIFS('Trades'!$B$8:$B$100,A32,'Trades'!$H$8:$H$100,"&gt;0")</x:f>
        <x:v>0</x:v>
      </x:c>
      <x:c r="G32" s="1" t="n">
        <x:f>COUNTIFS('Trades'!$B$8:$B$100,A32,'Trades'!$H$8:$H$100,"&lt;0")</x:f>
        <x:v>2</x:v>
      </x:c>
      <x:c r="H32" s="10" t="str"/>
      <x:c r="I32" s="1" t="str">
        <x:v>T056, T057</x:v>
      </x:c>
    </x:row>
    <x:row r="33" ht="23" customHeight="1">
      <x:c r="A33" s="5" t="d">
        <x:v>2026-09-18T00:00:00.000Z</x:v>
      </x:c>
      <x:c r="B33" s="1" t="n">
        <x:f>COUNTIFS('Trades'!$B$8:$B$100,A33)</x:f>
        <x:v>2</x:v>
      </x:c>
      <x:c r="C33" s="7" t="n">
        <x:f>SUMIFS('Trades'!$H$8:$H$100,'Trades'!$B$8:$B$100,A33,'Trades'!$C$8:$C$100,"CE")</x:f>
        <x:v>0</x:v>
      </x:c>
      <x:c r="D33" s="7" t="n">
        <x:f>SUMIFS('Trades'!$H$8:$H$100,'Trades'!$B$8:$B$100,A33,'Trades'!$C$8:$C$100,"PE")</x:f>
        <x:v>-28.25</x:v>
      </x:c>
      <x:c r="E33" s="11" t="n">
        <x:f>SUM(C33:D33)</x:f>
        <x:v>-28.25</x:v>
      </x:c>
      <x:c r="F33" s="1" t="n">
        <x:f>COUNTIFS('Trades'!$B$8:$B$100,A33,'Trades'!$H$8:$H$100,"&gt;0")</x:f>
        <x:v>0</x:v>
      </x:c>
      <x:c r="G33" s="1" t="n">
        <x:f>COUNTIFS('Trades'!$B$8:$B$100,A33,'Trades'!$H$8:$H$100,"&lt;0")</x:f>
        <x:v>2</x:v>
      </x:c>
      <x:c r="H33" s="10" t="str"/>
      <x:c r="I33" s="1" t="str">
        <x:v>T070, T071</x:v>
      </x:c>
    </x:row>
    <x:row r="34" ht="23" customHeight="1">
      <x:c r="A34" s="5" t="d">
        <x:v>2026-10-08T00:00:00.000Z</x:v>
      </x:c>
      <x:c r="B34" s="1" t="n">
        <x:f>COUNTIFS('Trades'!$B$8:$B$100,A34)</x:f>
        <x:v>1</x:v>
      </x:c>
      <x:c r="C34" s="7" t="n">
        <x:f>SUMIFS('Trades'!$H$8:$H$100,'Trades'!$B$8:$B$100,A34,'Trades'!$C$8:$C$100,"CE")</x:f>
        <x:v>0</x:v>
      </x:c>
      <x:c r="D34" s="7" t="n">
        <x:f>SUMIFS('Trades'!$H$8:$H$100,'Trades'!$B$8:$B$100,A34,'Trades'!$C$8:$C$100,"PE")</x:f>
        <x:v>-27.450000000000728</x:v>
      </x:c>
      <x:c r="E34" s="11" t="n">
        <x:f>SUM(C34:D34)</x:f>
        <x:v>-27.450000000000728</x:v>
      </x:c>
      <x:c r="F34" s="1" t="n">
        <x:f>COUNTIFS('Trades'!$B$8:$B$100,A34,'Trades'!$H$8:$H$100,"&gt;0")</x:f>
        <x:v>0</x:v>
      </x:c>
      <x:c r="G34" s="1" t="n">
        <x:f>COUNTIFS('Trades'!$B$8:$B$100,A34,'Trades'!$H$8:$H$100,"&lt;0")</x:f>
        <x:v>1</x:v>
      </x:c>
      <x:c r="H34" s="10" t="str"/>
      <x:c r="I34" s="1" t="str">
        <x:v>T085</x:v>
      </x:c>
    </x:row>
    <x:row r="35" ht="23" customHeight="1">
      <x:c r="A35" s="5" t="d">
        <x:v>2026-10-13T00:00:00.000Z</x:v>
      </x:c>
      <x:c r="B35" s="1" t="n">
        <x:f>COUNTIFS('Trades'!$B$8:$B$100,A35)</x:f>
        <x:v>1</x:v>
      </x:c>
      <x:c r="C35" s="7" t="n">
        <x:f>SUMIFS('Trades'!$H$8:$H$100,'Trades'!$B$8:$B$100,A35,'Trades'!$C$8:$C$100,"CE")</x:f>
        <x:v>-25.950000000000728</x:v>
      </x:c>
      <x:c r="D35" s="7" t="n">
        <x:f>SUMIFS('Trades'!$H$8:$H$100,'Trades'!$B$8:$B$100,A35,'Trades'!$C$8:$C$100,"PE")</x:f>
        <x:v>0</x:v>
      </x:c>
      <x:c r="E35" s="11" t="n">
        <x:f>SUM(C35:D35)</x:f>
        <x:v>-25.950000000000728</x:v>
      </x:c>
      <x:c r="F35" s="1" t="n">
        <x:f>COUNTIFS('Trades'!$B$8:$B$100,A35,'Trades'!$H$8:$H$100,"&gt;0")</x:f>
        <x:v>0</x:v>
      </x:c>
      <x:c r="G35" s="1" t="n">
        <x:f>COUNTIFS('Trades'!$B$8:$B$100,A35,'Trades'!$H$8:$H$100,"&lt;0")</x:f>
        <x:v>1</x:v>
      </x:c>
      <x:c r="H35" s="10" t="str"/>
      <x:c r="I35" s="1" t="str">
        <x:v>T088</x:v>
      </x:c>
    </x:row>
    <x:row r="36" ht="23" customHeight="1">
      <x:c r="A36" s="5" t="d">
        <x:v>2026-09-23T00:00:00.000Z</x:v>
      </x:c>
      <x:c r="B36" s="1" t="n">
        <x:f>COUNTIFS('Trades'!$B$8:$B$100,A36)</x:f>
        <x:v>2</x:v>
      </x:c>
      <x:c r="C36" s="7" t="n">
        <x:f>SUMIFS('Trades'!$H$8:$H$100,'Trades'!$B$8:$B$100,A36,'Trades'!$C$8:$C$100,"CE")</x:f>
        <x:v>-18.299999999999272</x:v>
      </x:c>
      <x:c r="D36" s="7" t="n">
        <x:f>SUMIFS('Trades'!$H$8:$H$100,'Trades'!$B$8:$B$100,A36,'Trades'!$C$8:$C$100,"PE")</x:f>
        <x:v>-6</x:v>
      </x:c>
      <x:c r="E36" s="11" t="n">
        <x:f>SUM(C36:D36)</x:f>
        <x:v>-24.299999999999272</x:v>
      </x:c>
      <x:c r="F36" s="1" t="n">
        <x:f>COUNTIFS('Trades'!$B$8:$B$100,A36,'Trades'!$H$8:$H$100,"&gt;0")</x:f>
        <x:v>0</x:v>
      </x:c>
      <x:c r="G36" s="1" t="n">
        <x:f>COUNTIFS('Trades'!$B$8:$B$100,A36,'Trades'!$H$8:$H$100,"&lt;0")</x:f>
        <x:v>2</x:v>
      </x:c>
      <x:c r="H36" s="10" t="str"/>
      <x:c r="I36" s="1" t="str">
        <x:v>T074, T075</x:v>
      </x:c>
    </x:row>
    <x:row r="37" ht="23" customHeight="1">
      <x:c r="A37" s="5" t="d">
        <x:v>2026-08-21T00:00:00.000Z</x:v>
      </x:c>
      <x:c r="B37" s="1" t="n">
        <x:f>COUNTIFS('Trades'!$B$8:$B$100,A37)</x:f>
        <x:v>2</x:v>
      </x:c>
      <x:c r="C37" s="7" t="n">
        <x:f>SUMIFS('Trades'!$H$8:$H$100,'Trades'!$B$8:$B$100,A37,'Trades'!$C$8:$C$100,"CE")</x:f>
        <x:v>0</x:v>
      </x:c>
      <x:c r="D37" s="7" t="n">
        <x:f>SUMIFS('Trades'!$H$8:$H$100,'Trades'!$B$8:$B$100,A37,'Trades'!$C$8:$C$100,"PE")</x:f>
        <x:v>-22.599999999998545</x:v>
      </x:c>
      <x:c r="E37" s="11" t="n">
        <x:f>SUM(C37:D37)</x:f>
        <x:v>-22.599999999998545</x:v>
      </x:c>
      <x:c r="F37" s="1" t="n">
        <x:f>COUNTIFS('Trades'!$B$8:$B$100,A37,'Trades'!$H$8:$H$100,"&gt;0")</x:f>
        <x:v>0</x:v>
      </x:c>
      <x:c r="G37" s="1" t="n">
        <x:f>COUNTIFS('Trades'!$B$8:$B$100,A37,'Trades'!$H$8:$H$100,"&lt;0")</x:f>
        <x:v>2</x:v>
      </x:c>
      <x:c r="H37" s="10" t="str"/>
      <x:c r="I37" s="1" t="str">
        <x:v>T045, T046</x:v>
      </x:c>
    </x:row>
    <x:row r="38" ht="23" customHeight="1">
      <x:c r="A38" s="5" t="d">
        <x:v>2026-07-03T00:00:00.000Z</x:v>
      </x:c>
      <x:c r="B38" s="1" t="n">
        <x:f>COUNTIFS('Trades'!$B$8:$B$100,A38)</x:f>
        <x:v>2</x:v>
      </x:c>
      <x:c r="C38" s="7" t="n">
        <x:f>SUMIFS('Trades'!$H$8:$H$100,'Trades'!$B$8:$B$100,A38,'Trades'!$C$8:$C$100,"CE")</x:f>
        <x:v>0</x:v>
      </x:c>
      <x:c r="D38" s="7" t="n">
        <x:f>SUMIFS('Trades'!$H$8:$H$100,'Trades'!$B$8:$B$100,A38,'Trades'!$C$8:$C$100,"PE")</x:f>
        <x:v>-22.549999999999272</x:v>
      </x:c>
      <x:c r="E38" s="11" t="n">
        <x:f>SUM(C38:D38)</x:f>
        <x:v>-22.549999999999272</x:v>
      </x:c>
      <x:c r="F38" s="1" t="n">
        <x:f>COUNTIFS('Trades'!$B$8:$B$100,A38,'Trades'!$H$8:$H$100,"&gt;0")</x:f>
        <x:v>0</x:v>
      </x:c>
      <x:c r="G38" s="1" t="n">
        <x:f>COUNTIFS('Trades'!$B$8:$B$100,A38,'Trades'!$H$8:$H$100,"&lt;0")</x:f>
        <x:v>2</x:v>
      </x:c>
      <x:c r="H38" s="10" t="str"/>
      <x:c r="I38" s="1" t="str">
        <x:v>T004, T005</x:v>
      </x:c>
    </x:row>
    <x:row r="39" ht="23" customHeight="1">
      <x:c r="A39" s="5" t="d">
        <x:v>2026-07-08T00:00:00.000Z</x:v>
      </x:c>
      <x:c r="B39" s="1" t="n">
        <x:f>COUNTIFS('Trades'!$B$8:$B$100,A39)</x:f>
        <x:v>2</x:v>
      </x:c>
      <x:c r="C39" s="7" t="n">
        <x:f>SUMIFS('Trades'!$H$8:$H$100,'Trades'!$B$8:$B$100,A39,'Trades'!$C$8:$C$100,"CE")</x:f>
        <x:v>-7.75</x:v>
      </x:c>
      <x:c r="D39" s="7" t="n">
        <x:f>SUMIFS('Trades'!$H$8:$H$100,'Trades'!$B$8:$B$100,A39,'Trades'!$C$8:$C$100,"PE")</x:f>
        <x:v>-14.5</x:v>
      </x:c>
      <x:c r="E39" s="11" t="n">
        <x:f>SUM(C39:D39)</x:f>
        <x:v>-22.25</x:v>
      </x:c>
      <x:c r="F39" s="1" t="n">
        <x:f>COUNTIFS('Trades'!$B$8:$B$100,A39,'Trades'!$H$8:$H$100,"&gt;0")</x:f>
        <x:v>0</x:v>
      </x:c>
      <x:c r="G39" s="1" t="n">
        <x:f>COUNTIFS('Trades'!$B$8:$B$100,A39,'Trades'!$H$8:$H$100,"&lt;0")</x:f>
        <x:v>2</x:v>
      </x:c>
      <x:c r="H39" s="10" t="str"/>
      <x:c r="I39" s="1" t="str">
        <x:v>T007, T008</x:v>
      </x:c>
    </x:row>
    <x:row r="40" ht="23" customHeight="1">
      <x:c r="A40" s="5" t="d">
        <x:v>2026-07-29T00:00:00.000Z</x:v>
      </x:c>
      <x:c r="B40" s="1" t="n">
        <x:f>COUNTIFS('Trades'!$B$8:$B$100,A40)</x:f>
        <x:v>2</x:v>
      </x:c>
      <x:c r="C40" s="7" t="n">
        <x:f>SUMIFS('Trades'!$H$8:$H$100,'Trades'!$B$8:$B$100,A40,'Trades'!$C$8:$C$100,"CE")</x:f>
        <x:v>-13.549999999999272</x:v>
      </x:c>
      <x:c r="D40" s="7" t="n">
        <x:f>SUMIFS('Trades'!$H$8:$H$100,'Trades'!$B$8:$B$100,A40,'Trades'!$C$8:$C$100,"PE")</x:f>
        <x:v>-8.099999999998545</x:v>
      </x:c>
      <x:c r="E40" s="11" t="n">
        <x:f>SUM(C40:D40)</x:f>
        <x:v>-21.649999999997817</x:v>
      </x:c>
      <x:c r="F40" s="1" t="n">
        <x:f>COUNTIFS('Trades'!$B$8:$B$100,A40,'Trades'!$H$8:$H$100,"&gt;0")</x:f>
        <x:v>0</x:v>
      </x:c>
      <x:c r="G40" s="1" t="n">
        <x:f>COUNTIFS('Trades'!$B$8:$B$100,A40,'Trades'!$H$8:$H$100,"&lt;0")</x:f>
        <x:v>2</x:v>
      </x:c>
      <x:c r="H40" s="10" t="str"/>
      <x:c r="I40" s="1" t="str">
        <x:v>T027, T028</x:v>
      </x:c>
    </x:row>
    <x:row r="41" ht="23" customHeight="1">
      <x:c r="A41" s="5" t="d">
        <x:v>2026-09-10T00:00:00.000Z</x:v>
      </x:c>
      <x:c r="B41" s="1" t="n">
        <x:f>COUNTIFS('Trades'!$B$8:$B$100,A41)</x:f>
        <x:v>2</x:v>
      </x:c>
      <x:c r="C41" s="7" t="n">
        <x:f>SUMIFS('Trades'!$H$8:$H$100,'Trades'!$B$8:$B$100,A41,'Trades'!$C$8:$C$100,"CE")</x:f>
        <x:v>-12</x:v>
      </x:c>
      <x:c r="D41" s="7" t="n">
        <x:f>SUMIFS('Trades'!$H$8:$H$100,'Trades'!$B$8:$B$100,A41,'Trades'!$C$8:$C$100,"PE")</x:f>
        <x:v>-8.55000000000291</x:v>
      </x:c>
      <x:c r="E41" s="11" t="n">
        <x:f>SUM(C41:D41)</x:f>
        <x:v>-20.55000000000291</x:v>
      </x:c>
      <x:c r="F41" s="1" t="n">
        <x:f>COUNTIFS('Trades'!$B$8:$B$100,A41,'Trades'!$H$8:$H$100,"&gt;0")</x:f>
        <x:v>0</x:v>
      </x:c>
      <x:c r="G41" s="1" t="n">
        <x:f>COUNTIFS('Trades'!$B$8:$B$100,A41,'Trades'!$H$8:$H$100,"&lt;0")</x:f>
        <x:v>2</x:v>
      </x:c>
      <x:c r="H41" s="10" t="str"/>
      <x:c r="I41" s="1" t="str">
        <x:v>T061, T062</x:v>
      </x:c>
    </x:row>
    <x:row r="42" ht="23" customHeight="1">
      <x:c r="A42" s="5" t="d">
        <x:v>2026-08-14T00:00:00.000Z</x:v>
      </x:c>
      <x:c r="B42" s="1" t="n">
        <x:f>COUNTIFS('Trades'!$B$8:$B$100,A42)</x:f>
        <x:v>2</x:v>
      </x:c>
      <x:c r="C42" s="7" t="n">
        <x:f>SUMIFS('Trades'!$H$8:$H$100,'Trades'!$B$8:$B$100,A42,'Trades'!$C$8:$C$100,"CE")</x:f>
        <x:v>0</x:v>
      </x:c>
      <x:c r="D42" s="7" t="n">
        <x:f>SUMIFS('Trades'!$H$8:$H$100,'Trades'!$B$8:$B$100,A42,'Trades'!$C$8:$C$100,"PE")</x:f>
        <x:v>-20.200000000000728</x:v>
      </x:c>
      <x:c r="E42" s="11" t="n">
        <x:f>SUM(C42:D42)</x:f>
        <x:v>-20.200000000000728</x:v>
      </x:c>
      <x:c r="F42" s="1" t="n">
        <x:f>COUNTIFS('Trades'!$B$8:$B$100,A42,'Trades'!$H$8:$H$100,"&gt;0")</x:f>
        <x:v>0</x:v>
      </x:c>
      <x:c r="G42" s="1" t="n">
        <x:f>COUNTIFS('Trades'!$B$8:$B$100,A42,'Trades'!$H$8:$H$100,"&lt;0")</x:f>
        <x:v>2</x:v>
      </x:c>
      <x:c r="H42" s="10" t="str"/>
      <x:c r="I42" s="1" t="str">
        <x:v>T040, T041</x:v>
      </x:c>
    </x:row>
    <x:row r="43" ht="23" customHeight="1">
      <x:c r="A43" s="5" t="d">
        <x:v>2026-07-21T00:00:00.000Z</x:v>
      </x:c>
      <x:c r="B43" s="1" t="n">
        <x:f>COUNTIFS('Trades'!$B$8:$B$100,A43)</x:f>
        <x:v>2</x:v>
      </x:c>
      <x:c r="C43" s="7" t="n">
        <x:f>SUMIFS('Trades'!$H$8:$H$100,'Trades'!$B$8:$B$100,A43,'Trades'!$C$8:$C$100,"CE")</x:f>
        <x:v>-19.850000000002183</x:v>
      </x:c>
      <x:c r="D43" s="7" t="n">
        <x:f>SUMIFS('Trades'!$H$8:$H$100,'Trades'!$B$8:$B$100,A43,'Trades'!$C$8:$C$100,"PE")</x:f>
        <x:v>0</x:v>
      </x:c>
      <x:c r="E43" s="11" t="n">
        <x:f>SUM(C43:D43)</x:f>
        <x:v>-19.850000000002183</x:v>
      </x:c>
      <x:c r="F43" s="1" t="n">
        <x:f>COUNTIFS('Trades'!$B$8:$B$100,A43,'Trades'!$H$8:$H$100,"&gt;0")</x:f>
        <x:v>0</x:v>
      </x:c>
      <x:c r="G43" s="1" t="n">
        <x:f>COUNTIFS('Trades'!$B$8:$B$100,A43,'Trades'!$H$8:$H$100,"&lt;0")</x:f>
        <x:v>2</x:v>
      </x:c>
      <x:c r="H43" s="10" t="str"/>
      <x:c r="I43" s="1" t="str">
        <x:v>T019, T020</x:v>
      </x:c>
    </x:row>
    <x:row r="44" ht="23" customHeight="1">
      <x:c r="A44" s="5" t="d">
        <x:v>2026-07-14T00:00:00.000Z</x:v>
      </x:c>
      <x:c r="B44" s="1" t="n">
        <x:f>COUNTIFS('Trades'!$B$8:$B$100,A44)</x:f>
        <x:v>2</x:v>
      </x:c>
      <x:c r="C44" s="7" t="n">
        <x:f>SUMIFS('Trades'!$H$8:$H$100,'Trades'!$B$8:$B$100,A44,'Trades'!$C$8:$C$100,"CE")</x:f>
        <x:v>0</x:v>
      </x:c>
      <x:c r="D44" s="7" t="n">
        <x:f>SUMIFS('Trades'!$H$8:$H$100,'Trades'!$B$8:$B$100,A44,'Trades'!$C$8:$C$100,"PE")</x:f>
        <x:v>-19.350000000002183</x:v>
      </x:c>
      <x:c r="E44" s="11" t="n">
        <x:f>SUM(C44:D44)</x:f>
        <x:v>-19.350000000002183</x:v>
      </x:c>
      <x:c r="F44" s="1" t="n">
        <x:f>COUNTIFS('Trades'!$B$8:$B$100,A44,'Trades'!$H$8:$H$100,"&gt;0")</x:f>
        <x:v>0</x:v>
      </x:c>
      <x:c r="G44" s="1" t="n">
        <x:f>COUNTIFS('Trades'!$B$8:$B$100,A44,'Trades'!$H$8:$H$100,"&lt;0")</x:f>
        <x:v>2</x:v>
      </x:c>
      <x:c r="H44" s="10" t="str"/>
      <x:c r="I44" s="1" t="str">
        <x:v>T014, T015</x:v>
      </x:c>
    </x:row>
    <x:row r="45" ht="23" customHeight="1">
      <x:c r="A45" s="5" t="d">
        <x:v>2026-07-27T00:00:00.000Z</x:v>
      </x:c>
      <x:c r="B45" s="1" t="n">
        <x:f>COUNTIFS('Trades'!$B$8:$B$100,A45)</x:f>
        <x:v>2</x:v>
      </x:c>
      <x:c r="C45" s="7" t="n">
        <x:f>SUMIFS('Trades'!$H$8:$H$100,'Trades'!$B$8:$B$100,A45,'Trades'!$C$8:$C$100,"CE")</x:f>
        <x:v>-18.849999999998545</x:v>
      </x:c>
      <x:c r="D45" s="7" t="n">
        <x:f>SUMIFS('Trades'!$H$8:$H$100,'Trades'!$B$8:$B$100,A45,'Trades'!$C$8:$C$100,"PE")</x:f>
        <x:v>0</x:v>
      </x:c>
      <x:c r="E45" s="11" t="n">
        <x:f>SUM(C45:D45)</x:f>
        <x:v>-18.849999999998545</x:v>
      </x:c>
      <x:c r="F45" s="1" t="n">
        <x:f>COUNTIFS('Trades'!$B$8:$B$100,A45,'Trades'!$H$8:$H$100,"&gt;0")</x:f>
        <x:v>0</x:v>
      </x:c>
      <x:c r="G45" s="1" t="n">
        <x:f>COUNTIFS('Trades'!$B$8:$B$100,A45,'Trades'!$H$8:$H$100,"&lt;0")</x:f>
        <x:v>2</x:v>
      </x:c>
      <x:c r="H45" s="10" t="str"/>
      <x:c r="I45" s="1" t="str">
        <x:v>T023, T024</x:v>
      </x:c>
    </x:row>
    <x:row r="46" ht="23" customHeight="1">
      <x:c r="A46" s="5" t="d">
        <x:v>2026-07-22T00:00:00.000Z</x:v>
      </x:c>
      <x:c r="B46" s="1" t="n">
        <x:f>COUNTIFS('Trades'!$B$8:$B$100,A46)</x:f>
        <x:v>2</x:v>
      </x:c>
      <x:c r="C46" s="7" t="n">
        <x:f>SUMIFS('Trades'!$H$8:$H$100,'Trades'!$B$8:$B$100,A46,'Trades'!$C$8:$C$100,"CE")</x:f>
        <x:v>0</x:v>
      </x:c>
      <x:c r="D46" s="7" t="n">
        <x:f>SUMIFS('Trades'!$H$8:$H$100,'Trades'!$B$8:$B$100,A46,'Trades'!$C$8:$C$100,"PE")</x:f>
        <x:v>-17.299999999999272</x:v>
      </x:c>
      <x:c r="E46" s="11" t="n">
        <x:f>SUM(C46:D46)</x:f>
        <x:v>-17.299999999999272</x:v>
      </x:c>
      <x:c r="F46" s="1" t="n">
        <x:f>COUNTIFS('Trades'!$B$8:$B$100,A46,'Trades'!$H$8:$H$100,"&gt;0")</x:f>
        <x:v>0</x:v>
      </x:c>
      <x:c r="G46" s="1" t="n">
        <x:f>COUNTIFS('Trades'!$B$8:$B$100,A46,'Trades'!$H$8:$H$100,"&lt;0")</x:f>
        <x:v>2</x:v>
      </x:c>
      <x:c r="H46" s="10" t="str"/>
      <x:c r="I46" s="1" t="str">
        <x:v>T021, T022</x:v>
      </x:c>
    </x:row>
    <x:row r="47" ht="23" customHeight="1">
      <x:c r="A47" s="5" t="d">
        <x:v>2026-09-17T00:00:00.000Z</x:v>
      </x:c>
      <x:c r="B47" s="1" t="n">
        <x:f>COUNTIFS('Trades'!$B$8:$B$100,A47)</x:f>
        <x:v>2</x:v>
      </x:c>
      <x:c r="C47" s="7" t="n">
        <x:f>SUMIFS('Trades'!$H$8:$H$100,'Trades'!$B$8:$B$100,A47,'Trades'!$C$8:$C$100,"CE")</x:f>
        <x:v>-12.5</x:v>
      </x:c>
      <x:c r="D47" s="7" t="n">
        <x:f>SUMIFS('Trades'!$H$8:$H$100,'Trades'!$B$8:$B$100,A47,'Trades'!$C$8:$C$100,"PE")</x:f>
        <x:v>-3.850000000002183</x:v>
      </x:c>
      <x:c r="E47" s="11" t="n">
        <x:f>SUM(C47:D47)</x:f>
        <x:v>-16.350000000002183</x:v>
      </x:c>
      <x:c r="F47" s="1" t="n">
        <x:f>COUNTIFS('Trades'!$B$8:$B$100,A47,'Trades'!$H$8:$H$100,"&gt;0")</x:f>
        <x:v>0</x:v>
      </x:c>
      <x:c r="G47" s="1" t="n">
        <x:f>COUNTIFS('Trades'!$B$8:$B$100,A47,'Trades'!$H$8:$H$100,"&lt;0")</x:f>
        <x:v>2</x:v>
      </x:c>
      <x:c r="H47" s="10" t="str"/>
      <x:c r="I47" s="1" t="str">
        <x:v>T068, T069</x:v>
      </x:c>
    </x:row>
    <x:row r="48" ht="23" customHeight="1">
      <x:c r="A48" s="5" t="d">
        <x:v>2026-09-11T00:00:00.000Z</x:v>
      </x:c>
      <x:c r="B48" s="1" t="n">
        <x:f>COUNTIFS('Trades'!$B$8:$B$100,A48)</x:f>
        <x:v>2</x:v>
      </x:c>
      <x:c r="C48" s="7" t="n">
        <x:f>SUMIFS('Trades'!$H$8:$H$100,'Trades'!$B$8:$B$100,A48,'Trades'!$C$8:$C$100,"CE")</x:f>
        <x:v>-4.599999999998545</x:v>
      </x:c>
      <x:c r="D48" s="7" t="n">
        <x:f>SUMIFS('Trades'!$H$8:$H$100,'Trades'!$B$8:$B$100,A48,'Trades'!$C$8:$C$100,"PE")</x:f>
        <x:v>-7.850000000002183</x:v>
      </x:c>
      <x:c r="E48" s="11" t="n">
        <x:f>SUM(C48:D48)</x:f>
        <x:v>-12.450000000000728</x:v>
      </x:c>
      <x:c r="F48" s="1" t="n">
        <x:f>COUNTIFS('Trades'!$B$8:$B$100,A48,'Trades'!$H$8:$H$100,"&gt;0")</x:f>
        <x:v>0</x:v>
      </x:c>
      <x:c r="G48" s="1" t="n">
        <x:f>COUNTIFS('Trades'!$B$8:$B$100,A48,'Trades'!$H$8:$H$100,"&lt;0")</x:f>
        <x:v>2</x:v>
      </x:c>
      <x:c r="H48" s="10" t="str"/>
      <x:c r="I48" s="1" t="str">
        <x:v>T063, T064</x:v>
      </x:c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</x:row>
  </x:sheetData>
  <x:pageMargins left="0.7" right="0.7" top="0.75" bottom="0.75" header="0.3" footer="0.3"/>
  <x:tableParts count="1">
    <x:tablePart xmlns:r="http://schemas.openxmlformats.org/officeDocument/2006/relationships" r:id="R39aab42458a4432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3" hidden="0" customWidth="1"/>
    <x:col min="10" max="10" width="17" hidden="0" customWidth="1"/>
    <x:col min="11" max="11" width="17" hidden="0" customWidth="1"/>
    <x:col min="12" max="12" width="14" hidden="0" customWidth="1"/>
    <x:col min="13" max="13" width="14" hidden="0" customWidth="1"/>
    <x:col min="14" max="14" width="36" hidden="0" customWidth="1"/>
    <x:col min="15" max="15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V3 trade detail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01 Jul–21 Oct 2026. Stop 25 points. Max 2 entries. Slippage 1 point per side. All times IST.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3" t="str">
        <x:v>Source: replay of cached Kite Nifty 1-minute history; reconciles to 93 trades and +892.70 index points.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3" t="str">
        <x:v>Index-point proxy, not option P&amp;L. Entry times are fills; the signal candle starts one minute earlier.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 ht="30" customHeight="1">
      <x:c r="A7" s="16" t="str">
        <x:v>Trade ID</x:v>
      </x:c>
      <x:c r="B7" s="16" t="str">
        <x:v>Date</x:v>
      </x:c>
      <x:c r="C7" s="16" t="str">
        <x:v>Side</x:v>
      </x:c>
      <x:c r="D7" s="16" t="str">
        <x:v>Entry IST</x:v>
      </x:c>
      <x:c r="E7" s="16" t="str">
        <x:v>Exit IST</x:v>
      </x:c>
      <x:c r="F7" s="16" t="str">
        <x:v>Entry index</x:v>
      </x:c>
      <x:c r="G7" s="16" t="str">
        <x:v>Exit index</x:v>
      </x:c>
      <x:c r="H7" s="16" t="str">
        <x:v>Points</x:v>
      </x:c>
      <x:c r="I7" s="16" t="str">
        <x:v>Exit reason</x:v>
      </x:c>
      <x:c r="J7" s="16" t="str">
        <x:v>Entry reference</x:v>
      </x:c>
      <x:c r="K7" s="16" t="str">
        <x:v>Initial stop</x:v>
      </x:c>
      <x:c r="L7" s="16" t="str">
        <x:v>Minutes held</x:v>
      </x:c>
      <x:c r="M7" s="16" t="str">
        <x:v>Opening body</x:v>
      </x:c>
      <x:c r="N7" s="16" t="str">
        <x:v>Review notes</x:v>
      </x:c>
      <x:c r="O7" s="16" t="str">
        <x:v>Daily entry #</x:v>
      </x:c>
    </x:row>
    <x:row r="8" ht="22" customHeight="1">
      <x:c r="A8" s="1" t="str">
        <x:v>T001</x:v>
      </x:c>
      <x:c r="B8" s="5" t="d">
        <x:v>2026-07-01T00:00:00.000Z</x:v>
      </x:c>
      <x:c r="C8" s="9" t="str">
        <x:v>CE</x:v>
      </x:c>
      <x:c r="D8" s="6" t="n">
        <x:v>0.40694444444444444</x:v>
      </x:c>
      <x:c r="E8" s="6" t="n">
        <x:v>0.6354166666666666</x:v>
      </x:c>
      <x:c r="F8" s="7" t="n">
        <x:v>23947.6</x:v>
      </x:c>
      <x:c r="G8" s="7" t="n">
        <x:v>24004.6</x:v>
      </x:c>
      <x:c r="H8" s="7" t="n">
        <x:f>IF(C8="CE",G8-F8,F8-G8)</x:f>
        <x:v>57</x:v>
      </x:c>
      <x:c r="I8" s="1" t="str">
        <x:v>session_end</x:v>
      </x:c>
      <x:c r="J8" s="7" t="n">
        <x:v>23923.2525</x:v>
      </x:c>
      <x:c r="K8" s="7" t="n">
        <x:v>23922.6</x:v>
      </x:c>
      <x:c r="L8" s="8" t="n">
        <x:v>329</x:v>
      </x:c>
      <x:c r="M8" s="7" t="n">
        <x:v>46.55</x:v>
      </x:c>
      <x:c r="N8" s="10" t="str"/>
      <x:c r="O8" s="8" t="n">
        <x:v>1</x:v>
      </x:c>
    </x:row>
    <x:row r="9" ht="22" customHeight="1">
      <x:c r="A9" s="1" t="str">
        <x:v>T002</x:v>
      </x:c>
      <x:c r="B9" s="5" t="d">
        <x:v>2026-07-02T00:00:00.000Z</x:v>
      </x:c>
      <x:c r="C9" s="9" t="str">
        <x:v>CE</x:v>
      </x:c>
      <x:c r="D9" s="6" t="n">
        <x:v>0.40694444444444444</x:v>
      </x:c>
      <x:c r="E9" s="6" t="n">
        <x:v>0.4152777777777778</x:v>
      </x:c>
      <x:c r="F9" s="7" t="n">
        <x:v>24154.25</x:v>
      </x:c>
      <x:c r="G9" s="7" t="n">
        <x:v>24127.25</x:v>
      </x:c>
      <x:c r="H9" s="7" t="n">
        <x:f>IF(C9="CE",G9-F9,F9-G9)</x:f>
        <x:v>-27</x:v>
      </x:c>
      <x:c r="I9" s="1" t="str">
        <x:v>fixed_stop</x:v>
      </x:c>
      <x:c r="J9" s="7" t="n">
        <x:v>24109.4175</x:v>
      </x:c>
      <x:c r="K9" s="7" t="n">
        <x:v>24129.25</x:v>
      </x:c>
      <x:c r="L9" s="8" t="n">
        <x:v>12</x:v>
      </x:c>
      <x:c r="M9" s="7" t="n">
        <x:v>85.85</x:v>
      </x:c>
      <x:c r="N9" s="10" t="str"/>
      <x:c r="O9" s="8" t="n">
        <x:v>1</x:v>
      </x:c>
    </x:row>
    <x:row r="10" ht="22" customHeight="1">
      <x:c r="A10" s="1" t="str">
        <x:v>T003</x:v>
      </x:c>
      <x:c r="B10" s="5" t="d">
        <x:v>2026-07-02T00:00:00.000Z</x:v>
      </x:c>
      <x:c r="C10" s="9" t="str">
        <x:v>CE</x:v>
      </x:c>
      <x:c r="D10" s="6" t="n">
        <x:v>0.4201388888888889</x:v>
      </x:c>
      <x:c r="E10" s="6" t="n">
        <x:v>0.42083333333333334</x:v>
      </x:c>
      <x:c r="F10" s="7" t="n">
        <x:v>24118</x:v>
      </x:c>
      <x:c r="G10" s="7" t="n">
        <x:v>24106.95</x:v>
      </x:c>
      <x:c r="H10" s="7" t="n">
        <x:f>IF(C10="CE",G10-F10,F10-G10)</x:f>
        <x:v>-11.049999999999272</x:v>
      </x:c>
      <x:c r="I10" s="1" t="str">
        <x:v>reference_cross</x:v>
      </x:c>
      <x:c r="J10" s="7" t="n">
        <x:v>24109.4175</x:v>
      </x:c>
      <x:c r="K10" s="7" t="n">
        <x:v>24093</x:v>
      </x:c>
      <x:c r="L10" s="8" t="n">
        <x:v>1</x:v>
      </x:c>
      <x:c r="M10" s="7" t="n">
        <x:v>85.85</x:v>
      </x:c>
      <x:c r="N10" s="10" t="str"/>
      <x:c r="O10" s="8" t="n">
        <x:v>2</x:v>
      </x:c>
    </x:row>
    <x:row r="11" ht="22" customHeight="1">
      <x:c r="A11" s="1" t="str">
        <x:v>T004</x:v>
      </x:c>
      <x:c r="B11" s="5" t="d">
        <x:v>2026-07-03T00:00:00.000Z</x:v>
      </x:c>
      <x:c r="C11" s="9" t="str">
        <x:v>PE</x:v>
      </x:c>
      <x:c r="D11" s="6" t="n">
        <x:v>0.40694444444444444</x:v>
      </x:c>
      <x:c r="E11" s="6" t="n">
        <x:v>0.5006944444444444</x:v>
      </x:c>
      <x:c r="F11" s="7" t="n">
        <x:v>24342.4</x:v>
      </x:c>
      <x:c r="G11" s="7" t="n">
        <x:v>24361.2</x:v>
      </x:c>
      <x:c r="H11" s="7" t="n">
        <x:f>IF(C11="CE",G11-F11,F11-G11)</x:f>
        <x:v>-18.799999999999272</x:v>
      </x:c>
      <x:c r="I11" s="1" t="str">
        <x:v>reference_cross</x:v>
      </x:c>
      <x:c r="J11" s="7" t="n">
        <x:v>24354.2825</x:v>
      </x:c>
      <x:c r="K11" s="7" t="n">
        <x:v>24367.4</x:v>
      </x:c>
      <x:c r="L11" s="8" t="n">
        <x:v>135</x:v>
      </x:c>
      <x:c r="M11" s="7" t="n">
        <x:v>38.85</x:v>
      </x:c>
      <x:c r="N11" s="10" t="str"/>
      <x:c r="O11" s="8" t="n">
        <x:v>1</x:v>
      </x:c>
    </x:row>
    <x:row r="12" ht="22" customHeight="1">
      <x:c r="A12" s="1" t="str">
        <x:v>T005</x:v>
      </x:c>
      <x:c r="B12" s="5" t="d">
        <x:v>2026-07-03T00:00:00.000Z</x:v>
      </x:c>
      <x:c r="C12" s="9" t="str">
        <x:v>PE</x:v>
      </x:c>
      <x:c r="D12" s="6" t="n">
        <x:v>0.5013888888888889</x:v>
      </x:c>
      <x:c r="E12" s="6" t="n">
        <x:v>0.5027777777777778</x:v>
      </x:c>
      <x:c r="F12" s="7" t="n">
        <x:v>24352.75</x:v>
      </x:c>
      <x:c r="G12" s="7" t="n">
        <x:v>24356.5</x:v>
      </x:c>
      <x:c r="H12" s="7" t="n">
        <x:f>IF(C12="CE",G12-F12,F12-G12)</x:f>
        <x:v>-3.75</x:v>
      </x:c>
      <x:c r="I12" s="1" t="str">
        <x:v>reference_cross</x:v>
      </x:c>
      <x:c r="J12" s="7" t="n">
        <x:v>24354.2825</x:v>
      </x:c>
      <x:c r="K12" s="7" t="n">
        <x:v>24377.75</x:v>
      </x:c>
      <x:c r="L12" s="8" t="n">
        <x:v>2</x:v>
      </x:c>
      <x:c r="M12" s="7" t="n">
        <x:v>38.85</x:v>
      </x:c>
      <x:c r="N12" s="10" t="str"/>
      <x:c r="O12" s="8" t="n">
        <x:v>2</x:v>
      </x:c>
    </x:row>
    <x:row r="13" ht="22" customHeight="1">
      <x:c r="A13" s="1" t="str">
        <x:v>T006</x:v>
      </x:c>
      <x:c r="B13" s="5" t="d">
        <x:v>2026-07-06T00:00:00.000Z</x:v>
      </x:c>
      <x:c r="C13" s="9" t="str">
        <x:v>CE</x:v>
      </x:c>
      <x:c r="D13" s="6" t="n">
        <x:v>0.40694444444444444</x:v>
      </x:c>
      <x:c r="E13" s="6" t="n">
        <x:v>0.6354166666666666</x:v>
      </x:c>
      <x:c r="F13" s="7" t="n">
        <x:v>24380.7</x:v>
      </x:c>
      <x:c r="G13" s="7" t="n">
        <x:v>24437.2</x:v>
      </x:c>
      <x:c r="H13" s="7" t="n">
        <x:f>IF(C13="CE",G13-F13,F13-G13)</x:f>
        <x:v>56.5</x:v>
      </x:c>
      <x:c r="I13" s="1" t="str">
        <x:v>session_end</x:v>
      </x:c>
      <x:c r="J13" s="7" t="n">
        <x:v>24340.9775</x:v>
      </x:c>
      <x:c r="K13" s="7" t="n">
        <x:v>24355.7</x:v>
      </x:c>
      <x:c r="L13" s="8" t="n">
        <x:v>329</x:v>
      </x:c>
      <x:c r="M13" s="7" t="n">
        <x:v>62.05</x:v>
      </x:c>
      <x:c r="N13" s="10" t="str"/>
      <x:c r="O13" s="8" t="n">
        <x:v>1</x:v>
      </x:c>
    </x:row>
    <x:row r="14" ht="22" customHeight="1">
      <x:c r="A14" s="1" t="str">
        <x:v>T007</x:v>
      </x:c>
      <x:c r="B14" s="5" t="d">
        <x:v>2026-07-08T00:00:00.000Z</x:v>
      </x:c>
      <x:c r="C14" s="9" t="str">
        <x:v>PE</x:v>
      </x:c>
      <x:c r="D14" s="6" t="n">
        <x:v>0.40694444444444444</x:v>
      </x:c>
      <x:c r="E14" s="6" t="n">
        <x:v>0.40902777777777777</x:v>
      </x:c>
      <x:c r="F14" s="7" t="n">
        <x:v>24229.85</x:v>
      </x:c>
      <x:c r="G14" s="7" t="n">
        <x:v>24244.35</x:v>
      </x:c>
      <x:c r="H14" s="7" t="n">
        <x:f>IF(C14="CE",G14-F14,F14-G14)</x:f>
        <x:v>-14.5</x:v>
      </x:c>
      <x:c r="I14" s="1" t="str">
        <x:v>reference_cross</x:v>
      </x:c>
      <x:c r="J14" s="7" t="n">
        <x:v>24241.18</x:v>
      </x:c>
      <x:c r="K14" s="7" t="n">
        <x:v>24254.85</x:v>
      </x:c>
      <x:c r="L14" s="8" t="n">
        <x:v>3</x:v>
      </x:c>
      <x:c r="M14" s="7" t="n">
        <x:v>33.4</x:v>
      </x:c>
      <x:c r="N14" s="10" t="str"/>
      <x:c r="O14" s="8" t="n">
        <x:v>1</x:v>
      </x:c>
    </x:row>
    <x:row r="15" ht="22" customHeight="1">
      <x:c r="A15" s="1" t="str">
        <x:v>T008</x:v>
      </x:c>
      <x:c r="B15" s="5" t="d">
        <x:v>2026-07-08T00:00:00.000Z</x:v>
      </x:c>
      <x:c r="C15" s="9" t="str">
        <x:v>CE</x:v>
      </x:c>
      <x:c r="D15" s="6" t="n">
        <x:v>0.4097222222222222</x:v>
      </x:c>
      <x:c r="E15" s="6" t="n">
        <x:v>0.41944444444444445</x:v>
      </x:c>
      <x:c r="F15" s="7" t="n">
        <x:v>24251.5</x:v>
      </x:c>
      <x:c r="G15" s="7" t="n">
        <x:v>24243.75</x:v>
      </x:c>
      <x:c r="H15" s="7" t="n">
        <x:f>IF(C15="CE",G15-F15,F15-G15)</x:f>
        <x:v>-7.75</x:v>
      </x:c>
      <x:c r="I15" s="1" t="str">
        <x:v>reference_cross</x:v>
      </x:c>
      <x:c r="J15" s="7" t="n">
        <x:v>24244.52</x:v>
      </x:c>
      <x:c r="K15" s="7" t="n">
        <x:v>24226.5</x:v>
      </x:c>
      <x:c r="L15" s="8" t="n">
        <x:v>14</x:v>
      </x:c>
      <x:c r="M15" s="7" t="n">
        <x:v>33.4</x:v>
      </x:c>
      <x:c r="N15" s="10" t="str"/>
      <x:c r="O15" s="8" t="n">
        <x:v>2</x:v>
      </x:c>
    </x:row>
    <x:row r="16" ht="22" customHeight="1">
      <x:c r="A16" s="1" t="str">
        <x:v>T009</x:v>
      </x:c>
      <x:c r="B16" s="5" t="d">
        <x:v>2026-07-09T00:00:00.000Z</x:v>
      </x:c>
      <x:c r="C16" s="9" t="str">
        <x:v>CE</x:v>
      </x:c>
      <x:c r="D16" s="6" t="n">
        <x:v>0.40694444444444444</x:v>
      </x:c>
      <x:c r="E16" s="6" t="n">
        <x:v>0.44305555555555554</x:v>
      </x:c>
      <x:c r="F16" s="7" t="n">
        <x:v>24044</x:v>
      </x:c>
      <x:c r="G16" s="7" t="n">
        <x:v>24013.15</x:v>
      </x:c>
      <x:c r="H16" s="7" t="n">
        <x:f>IF(C16="CE",G16-F16,F16-G16)</x:f>
        <x:v>-30.849999999998545</x:v>
      </x:c>
      <x:c r="I16" s="1" t="str">
        <x:v>fixed_stop</x:v>
      </x:c>
      <x:c r="J16" s="7" t="n">
        <x:v>23993.9875</x:v>
      </x:c>
      <x:c r="K16" s="7" t="n">
        <x:v>24019</x:v>
      </x:c>
      <x:c r="L16" s="8" t="n">
        <x:v>52</x:v>
      </x:c>
      <x:c r="M16" s="7" t="n">
        <x:v>118.25</x:v>
      </x:c>
      <x:c r="N16" s="10" t="str"/>
      <x:c r="O16" s="8" t="n">
        <x:v>1</x:v>
      </x:c>
    </x:row>
    <x:row r="17" ht="22" customHeight="1">
      <x:c r="A17" s="1" t="str">
        <x:v>T010</x:v>
      </x:c>
      <x:c r="B17" s="5" t="d">
        <x:v>2026-07-09T00:00:00.000Z</x:v>
      </x:c>
      <x:c r="C17" s="9" t="str">
        <x:v>CE</x:v>
      </x:c>
      <x:c r="D17" s="6" t="n">
        <x:v>0.46041666666666664</x:v>
      </x:c>
      <x:c r="E17" s="6" t="n">
        <x:v>0.6118055555555556</x:v>
      </x:c>
      <x:c r="F17" s="7" t="n">
        <x:v>24005.2</x:v>
      </x:c>
      <x:c r="G17" s="7" t="n">
        <x:v>24002.5</x:v>
      </x:c>
      <x:c r="H17" s="7" t="n">
        <x:f>IF(C17="CE",G17-F17,F17-G17)</x:f>
        <x:v>-2.7000000000007276</x:v>
      </x:c>
      <x:c r="I17" s="1" t="str">
        <x:v>reference_cross</x:v>
      </x:c>
      <x:c r="J17" s="7" t="n">
        <x:v>23993.9875</x:v>
      </x:c>
      <x:c r="K17" s="7" t="n">
        <x:v>23980.2</x:v>
      </x:c>
      <x:c r="L17" s="8" t="n">
        <x:v>218</x:v>
      </x:c>
      <x:c r="M17" s="7" t="n">
        <x:v>118.25</x:v>
      </x:c>
      <x:c r="N17" s="10" t="str"/>
      <x:c r="O17" s="8" t="n">
        <x:v>2</x:v>
      </x:c>
    </x:row>
    <x:row r="18" ht="22" customHeight="1">
      <x:c r="A18" s="1" t="str">
        <x:v>T011</x:v>
      </x:c>
      <x:c r="B18" s="5" t="d">
        <x:v>2026-07-10T00:00:00.000Z</x:v>
      </x:c>
      <x:c r="C18" s="9" t="str">
        <x:v>CE</x:v>
      </x:c>
      <x:c r="D18" s="6" t="n">
        <x:v>0.40694444444444444</x:v>
      </x:c>
      <x:c r="E18" s="6" t="n">
        <x:v>0.46944444444444444</x:v>
      </x:c>
      <x:c r="F18" s="7" t="n">
        <x:v>24199.85</x:v>
      </x:c>
      <x:c r="G18" s="7" t="n">
        <x:v>24172.65</x:v>
      </x:c>
      <x:c r="H18" s="7" t="n">
        <x:f>IF(C18="CE",G18-F18,F18-G18)</x:f>
        <x:v>-27.19999999999709</x:v>
      </x:c>
      <x:c r="I18" s="1" t="str">
        <x:v>fixed_stop</x:v>
      </x:c>
      <x:c r="J18" s="7" t="n">
        <x:v>24163.42</x:v>
      </x:c>
      <x:c r="K18" s="7" t="n">
        <x:v>24174.85</x:v>
      </x:c>
      <x:c r="L18" s="8" t="n">
        <x:v>90</x:v>
      </x:c>
      <x:c r="M18" s="7" t="n">
        <x:v>70.4</x:v>
      </x:c>
      <x:c r="N18" s="10" t="str"/>
      <x:c r="O18" s="8" t="n">
        <x:v>1</x:v>
      </x:c>
    </x:row>
    <x:row r="19" ht="22" customHeight="1">
      <x:c r="A19" s="1" t="str">
        <x:v>T012</x:v>
      </x:c>
      <x:c r="B19" s="5" t="d">
        <x:v>2026-07-10T00:00:00.000Z</x:v>
      </x:c>
      <x:c r="C19" s="9" t="str">
        <x:v>CE</x:v>
      </x:c>
      <x:c r="D19" s="6" t="n">
        <x:v>0.4798611111111111</x:v>
      </x:c>
      <x:c r="E19" s="6" t="n">
        <x:v>0.48125</x:v>
      </x:c>
      <x:c r="F19" s="7" t="n">
        <x:v>24169.25</x:v>
      </x:c>
      <x:c r="G19" s="7" t="n">
        <x:v>24162.7</x:v>
      </x:c>
      <x:c r="H19" s="7" t="n">
        <x:f>IF(C19="CE",G19-F19,F19-G19)</x:f>
        <x:v>-6.549999999999272</x:v>
      </x:c>
      <x:c r="I19" s="1" t="str">
        <x:v>reference_cross</x:v>
      </x:c>
      <x:c r="J19" s="7" t="n">
        <x:v>24163.42</x:v>
      </x:c>
      <x:c r="K19" s="7" t="n">
        <x:v>24144.25</x:v>
      </x:c>
      <x:c r="L19" s="8" t="n">
        <x:v>2</x:v>
      </x:c>
      <x:c r="M19" s="7" t="n">
        <x:v>70.4</x:v>
      </x:c>
      <x:c r="N19" s="10" t="str"/>
      <x:c r="O19" s="8" t="n">
        <x:v>2</x:v>
      </x:c>
    </x:row>
    <x:row r="20" ht="22" customHeight="1">
      <x:c r="A20" s="1" t="str">
        <x:v>T013</x:v>
      </x:c>
      <x:c r="B20" s="5" t="d">
        <x:v>2026-07-13T00:00:00.000Z</x:v>
      </x:c>
      <x:c r="C20" s="9" t="str">
        <x:v>CE</x:v>
      </x:c>
      <x:c r="D20" s="6" t="n">
        <x:v>0.40694444444444444</x:v>
      </x:c>
      <x:c r="E20" s="6" t="n">
        <x:v>0.6354166666666666</x:v>
      </x:c>
      <x:c r="F20" s="7" t="n">
        <x:v>24072.3</x:v>
      </x:c>
      <x:c r="G20" s="7" t="n">
        <x:v>24203.8</x:v>
      </x:c>
      <x:c r="H20" s="7" t="n">
        <x:f>IF(C20="CE",G20-F20,F20-G20)</x:f>
        <x:v>131.5</x:v>
      </x:c>
      <x:c r="I20" s="1" t="str">
        <x:v>session_end</x:v>
      </x:c>
      <x:c r="J20" s="7" t="n">
        <x:v>24058.98</x:v>
      </x:c>
      <x:c r="K20" s="7" t="n">
        <x:v>24047.3</x:v>
      </x:c>
      <x:c r="L20" s="8" t="n">
        <x:v>329</x:v>
      </x:c>
      <x:c r="M20" s="7" t="n">
        <x:v>35.6</x:v>
      </x:c>
      <x:c r="N20" s="10" t="str"/>
      <x:c r="O20" s="8" t="n">
        <x:v>1</x:v>
      </x:c>
    </x:row>
    <x:row r="21" ht="22" customHeight="1">
      <x:c r="A21" s="1" t="str">
        <x:v>T014</x:v>
      </x:c>
      <x:c r="B21" s="5" t="d">
        <x:v>2026-07-14T00:00:00.000Z</x:v>
      </x:c>
      <x:c r="C21" s="9" t="str">
        <x:v>PE</x:v>
      </x:c>
      <x:c r="D21" s="6" t="n">
        <x:v>0.40694444444444444</x:v>
      </x:c>
      <x:c r="E21" s="6" t="n">
        <x:v>0.41805555555555557</x:v>
      </x:c>
      <x:c r="F21" s="7" t="n">
        <x:v>24080.35</x:v>
      </x:c>
      <x:c r="G21" s="7" t="n">
        <x:v>24086.05</x:v>
      </x:c>
      <x:c r="H21" s="7" t="n">
        <x:f>IF(C21="CE",G21-F21,F21-G21)</x:f>
        <x:v>-5.700000000000728</x:v>
      </x:c>
      <x:c r="I21" s="1" t="str">
        <x:v>reference_cross</x:v>
      </x:c>
      <x:c r="J21" s="7" t="n">
        <x:v>24082.49</x:v>
      </x:c>
      <x:c r="K21" s="7" t="n">
        <x:v>24105.35</x:v>
      </x:c>
      <x:c r="L21" s="8" t="n">
        <x:v>16</x:v>
      </x:c>
      <x:c r="M21" s="7" t="n">
        <x:v>32.2</x:v>
      </x:c>
      <x:c r="N21" s="10" t="str"/>
      <x:c r="O21" s="8" t="n">
        <x:v>1</x:v>
      </x:c>
    </x:row>
    <x:row r="22" ht="22" customHeight="1">
      <x:c r="A22" s="1" t="str">
        <x:v>T015</x:v>
      </x:c>
      <x:c r="B22" s="5" t="d">
        <x:v>2026-07-14T00:00:00.000Z</x:v>
      </x:c>
      <x:c r="C22" s="9" t="str">
        <x:v>PE</x:v>
      </x:c>
      <x:c r="D22" s="6" t="n">
        <x:v>0.41875</x:v>
      </x:c>
      <x:c r="E22" s="6" t="n">
        <x:v>0.4201388888888889</x:v>
      </x:c>
      <x:c r="F22" s="7" t="n">
        <x:v>24075.6</x:v>
      </x:c>
      <x:c r="G22" s="7" t="n">
        <x:v>24089.25</x:v>
      </x:c>
      <x:c r="H22" s="7" t="n">
        <x:f>IF(C22="CE",G22-F22,F22-G22)</x:f>
        <x:v>-13.650000000001455</x:v>
      </x:c>
      <x:c r="I22" s="1" t="str">
        <x:v>reference_cross</x:v>
      </x:c>
      <x:c r="J22" s="7" t="n">
        <x:v>24082.49</x:v>
      </x:c>
      <x:c r="K22" s="7" t="n">
        <x:v>24100.6</x:v>
      </x:c>
      <x:c r="L22" s="8" t="n">
        <x:v>2</x:v>
      </x:c>
      <x:c r="M22" s="7" t="n">
        <x:v>32.2</x:v>
      </x:c>
      <x:c r="N22" s="10" t="str"/>
      <x:c r="O22" s="8" t="n">
        <x:v>2</x:v>
      </x:c>
    </x:row>
    <x:row r="23" ht="22" customHeight="1">
      <x:c r="A23" s="1" t="str">
        <x:v>T016</x:v>
      </x:c>
      <x:c r="B23" s="5" t="d">
        <x:v>2026-07-15T00:00:00.000Z</x:v>
      </x:c>
      <x:c r="C23" s="9" t="str">
        <x:v>CE</x:v>
      </x:c>
      <x:c r="D23" s="6" t="n">
        <x:v>0.40694444444444444</x:v>
      </x:c>
      <x:c r="E23" s="6" t="n">
        <x:v>0.41805555555555557</x:v>
      </x:c>
      <x:c r="F23" s="7" t="n">
        <x:v>24203.35</x:v>
      </x:c>
      <x:c r="G23" s="7" t="n">
        <x:v>24175.55</x:v>
      </x:c>
      <x:c r="H23" s="7" t="n">
        <x:f>IF(C23="CE",G23-F23,F23-G23)</x:f>
        <x:v>-27.799999999999272</x:v>
      </x:c>
      <x:c r="I23" s="1" t="str">
        <x:v>fixed_stop</x:v>
      </x:c>
      <x:c r="J23" s="7" t="n">
        <x:v>24145.9375</x:v>
      </x:c>
      <x:c r="K23" s="7" t="n">
        <x:v>24178.35</x:v>
      </x:c>
      <x:c r="L23" s="8" t="n">
        <x:v>16</x:v>
      </x:c>
      <x:c r="M23" s="7" t="n">
        <x:v>109.25</x:v>
      </x:c>
      <x:c r="N23" s="10" t="str"/>
      <x:c r="O23" s="8" t="n">
        <x:v>1</x:v>
      </x:c>
    </x:row>
    <x:row r="24" ht="22" customHeight="1">
      <x:c r="A24" s="1" t="str">
        <x:v>T017</x:v>
      </x:c>
      <x:c r="B24" s="5" t="d">
        <x:v>2026-07-15T00:00:00.000Z</x:v>
      </x:c>
      <x:c r="C24" s="9" t="str">
        <x:v>CE</x:v>
      </x:c>
      <x:c r="D24" s="6" t="n">
        <x:v>0.5284722222222222</x:v>
      </x:c>
      <x:c r="E24" s="6" t="n">
        <x:v>0.5375</x:v>
      </x:c>
      <x:c r="F24" s="7" t="n">
        <x:v>24147.55</x:v>
      </x:c>
      <x:c r="G24" s="7" t="n">
        <x:v>24134.6</x:v>
      </x:c>
      <x:c r="H24" s="7" t="n">
        <x:f>IF(C24="CE",G24-F24,F24-G24)</x:f>
        <x:v>-12.950000000000728</x:v>
      </x:c>
      <x:c r="I24" s="1" t="str">
        <x:v>reference_cross</x:v>
      </x:c>
      <x:c r="J24" s="7" t="n">
        <x:v>24145.9375</x:v>
      </x:c>
      <x:c r="K24" s="7" t="n">
        <x:v>24122.55</x:v>
      </x:c>
      <x:c r="L24" s="8" t="n">
        <x:v>13</x:v>
      </x:c>
      <x:c r="M24" s="7" t="n">
        <x:v>109.25</x:v>
      </x:c>
      <x:c r="N24" s="10" t="str"/>
      <x:c r="O24" s="8" t="n">
        <x:v>2</x:v>
      </x:c>
    </x:row>
    <x:row r="25" ht="22" customHeight="1">
      <x:c r="A25" s="1" t="str">
        <x:v>T018</x:v>
      </x:c>
      <x:c r="B25" s="5" t="d">
        <x:v>2026-07-17T00:00:00.000Z</x:v>
      </x:c>
      <x:c r="C25" s="9" t="str">
        <x:v>CE</x:v>
      </x:c>
      <x:c r="D25" s="6" t="n">
        <x:v>0.40694444444444444</x:v>
      </x:c>
      <x:c r="E25" s="6" t="n">
        <x:v>0.6354166666666666</x:v>
      </x:c>
      <x:c r="F25" s="7" t="n">
        <x:v>24235.6</x:v>
      </x:c>
      <x:c r="G25" s="7" t="n">
        <x:v>24327.9</x:v>
      </x:c>
      <x:c r="H25" s="7" t="n">
        <x:f>IF(C25="CE",G25-F25,F25-G25)</x:f>
        <x:v>92.30000000000291</x:v>
      </x:c>
      <x:c r="I25" s="1" t="str">
        <x:v>session_end</x:v>
      </x:c>
      <x:c r="J25" s="7" t="n">
        <x:v>24184.635</x:v>
      </x:c>
      <x:c r="K25" s="7" t="n">
        <x:v>24210.6</x:v>
      </x:c>
      <x:c r="L25" s="8" t="n">
        <x:v>329</x:v>
      </x:c>
      <x:c r="M25" s="7" t="n">
        <x:v>103.7</x:v>
      </x:c>
      <x:c r="N25" s="10" t="str"/>
      <x:c r="O25" s="8" t="n">
        <x:v>1</x:v>
      </x:c>
    </x:row>
    <x:row r="26" ht="22" customHeight="1">
      <x:c r="A26" s="1" t="str">
        <x:v>T019</x:v>
      </x:c>
      <x:c r="B26" s="5" t="d">
        <x:v>2026-07-21T00:00:00.000Z</x:v>
      </x:c>
      <x:c r="C26" s="9" t="str">
        <x:v>CE</x:v>
      </x:c>
      <x:c r="D26" s="6" t="n">
        <x:v>0.4076388888888889</x:v>
      </x:c>
      <x:c r="E26" s="6" t="n">
        <x:v>0.4083333333333333</x:v>
      </x:c>
      <x:c r="F26" s="7" t="n">
        <x:v>24232.9</x:v>
      </x:c>
      <x:c r="G26" s="7" t="n">
        <x:v>24219.4</x:v>
      </x:c>
      <x:c r="H26" s="7" t="n">
        <x:f>IF(C26="CE",G26-F26,F26-G26)</x:f>
        <x:v>-13.5</x:v>
      </x:c>
      <x:c r="I26" s="1" t="str">
        <x:v>reference_cross</x:v>
      </x:c>
      <x:c r="J26" s="7" t="n">
        <x:v>24227.545</x:v>
      </x:c>
      <x:c r="K26" s="7" t="n">
        <x:v>24207.9</x:v>
      </x:c>
      <x:c r="L26" s="8" t="n">
        <x:v>1</x:v>
      </x:c>
      <x:c r="M26" s="7" t="n">
        <x:v>20.9</x:v>
      </x:c>
      <x:c r="N26" s="10" t="str"/>
      <x:c r="O26" s="8" t="n">
        <x:v>1</x:v>
      </x:c>
    </x:row>
    <x:row r="27" ht="22" customHeight="1">
      <x:c r="A27" s="1" t="str">
        <x:v>T020</x:v>
      </x:c>
      <x:c r="B27" s="5" t="d">
        <x:v>2026-07-21T00:00:00.000Z</x:v>
      </x:c>
      <x:c r="C27" s="9" t="str">
        <x:v>CE</x:v>
      </x:c>
      <x:c r="D27" s="6" t="n">
        <x:v>0.41041666666666665</x:v>
      </x:c>
      <x:c r="E27" s="6" t="n">
        <x:v>0.41458333333333336</x:v>
      </x:c>
      <x:c r="F27" s="7" t="n">
        <x:v>24232.95</x:v>
      </x:c>
      <x:c r="G27" s="7" t="n">
        <x:v>24226.6</x:v>
      </x:c>
      <x:c r="H27" s="7" t="n">
        <x:f>IF(C27="CE",G27-F27,F27-G27)</x:f>
        <x:v>-6.350000000002183</x:v>
      </x:c>
      <x:c r="I27" s="1" t="str">
        <x:v>reference_cross</x:v>
      </x:c>
      <x:c r="J27" s="7" t="n">
        <x:v>24227.545</x:v>
      </x:c>
      <x:c r="K27" s="7" t="n">
        <x:v>24207.95</x:v>
      </x:c>
      <x:c r="L27" s="8" t="n">
        <x:v>6</x:v>
      </x:c>
      <x:c r="M27" s="7" t="n">
        <x:v>20.9</x:v>
      </x:c>
      <x:c r="N27" s="10" t="str"/>
      <x:c r="O27" s="8" t="n">
        <x:v>2</x:v>
      </x:c>
    </x:row>
    <x:row r="28" ht="22" customHeight="1">
      <x:c r="A28" s="1" t="str">
        <x:v>T021</x:v>
      </x:c>
      <x:c r="B28" s="5" t="d">
        <x:v>2026-07-22T00:00:00.000Z</x:v>
      </x:c>
      <x:c r="C28" s="9" t="str">
        <x:v>PE</x:v>
      </x:c>
      <x:c r="D28" s="6" t="n">
        <x:v>0.40694444444444444</x:v>
      </x:c>
      <x:c r="E28" s="6" t="n">
        <x:v>0.47638888888888886</x:v>
      </x:c>
      <x:c r="F28" s="7" t="n">
        <x:v>24029.4</x:v>
      </x:c>
      <x:c r="G28" s="7" t="n">
        <x:v>24042.4</x:v>
      </x:c>
      <x:c r="H28" s="7" t="n">
        <x:f>IF(C28="CE",G28-F28,F28-G28)</x:f>
        <x:v>-13</x:v>
      </x:c>
      <x:c r="I28" s="1" t="str">
        <x:v>reference_cross</x:v>
      </x:c>
      <x:c r="J28" s="7" t="n">
        <x:v>24082.5525</x:v>
      </x:c>
      <x:c r="K28" s="7" t="n">
        <x:v>24054.4</x:v>
      </x:c>
      <x:c r="L28" s="8" t="n">
        <x:v>100</x:v>
      </x:c>
      <x:c r="M28" s="7" t="n">
        <x:v>123.45</x:v>
      </x:c>
      <x:c r="N28" s="10" t="str"/>
      <x:c r="O28" s="8" t="n">
        <x:v>1</x:v>
      </x:c>
    </x:row>
    <x:row r="29" ht="22" customHeight="1">
      <x:c r="A29" s="1" t="str">
        <x:v>T022</x:v>
      </x:c>
      <x:c r="B29" s="5" t="d">
        <x:v>2026-07-22T00:00:00.000Z</x:v>
      </x:c>
      <x:c r="C29" s="9" t="str">
        <x:v>PE</x:v>
      </x:c>
      <x:c r="D29" s="6" t="n">
        <x:v>0.47708333333333336</x:v>
      </x:c>
      <x:c r="E29" s="6" t="n">
        <x:v>0.47847222222222224</x:v>
      </x:c>
      <x:c r="F29" s="7" t="n">
        <x:v>24037.65</x:v>
      </x:c>
      <x:c r="G29" s="7" t="n">
        <x:v>24041.95</x:v>
      </x:c>
      <x:c r="H29" s="7" t="n">
        <x:f>IF(C29="CE",G29-F29,F29-G29)</x:f>
        <x:v>-4.299999999999272</x:v>
      </x:c>
      <x:c r="I29" s="1" t="str">
        <x:v>reference_cross</x:v>
      </x:c>
      <x:c r="J29" s="7" t="n">
        <x:v>24038.8</x:v>
      </x:c>
      <x:c r="K29" s="7" t="n">
        <x:v>24062.65</x:v>
      </x:c>
      <x:c r="L29" s="8" t="n">
        <x:v>2</x:v>
      </x:c>
      <x:c r="M29" s="7" t="n">
        <x:v>123.45</x:v>
      </x:c>
      <x:c r="N29" s="10" t="str"/>
      <x:c r="O29" s="8" t="n">
        <x:v>2</x:v>
      </x:c>
    </x:row>
    <x:row r="30" ht="22" customHeight="1">
      <x:c r="A30" s="1" t="str">
        <x:v>T023</x:v>
      </x:c>
      <x:c r="B30" s="5" t="d">
        <x:v>2026-07-27T00:00:00.000Z</x:v>
      </x:c>
      <x:c r="C30" s="9" t="str">
        <x:v>CE</x:v>
      </x:c>
      <x:c r="D30" s="6" t="n">
        <x:v>0.40694444444444444</x:v>
      </x:c>
      <x:c r="E30" s="6" t="n">
        <x:v>0.4125</x:v>
      </x:c>
      <x:c r="F30" s="7" t="n">
        <x:v>23953.35</x:v>
      </x:c>
      <x:c r="G30" s="7" t="n">
        <x:v>23938.95</x:v>
      </x:c>
      <x:c r="H30" s="7" t="n">
        <x:f>IF(C30="CE",G30-F30,F30-G30)</x:f>
        <x:v>-14.399999999997817</x:v>
      </x:c>
      <x:c r="I30" s="1" t="str">
        <x:v>reference_cross</x:v>
      </x:c>
      <x:c r="J30" s="7" t="n">
        <x:v>23940.8575</x:v>
      </x:c>
      <x:c r="K30" s="7" t="n">
        <x:v>23928.35</x:v>
      </x:c>
      <x:c r="L30" s="8" t="n">
        <x:v>8</x:v>
      </x:c>
      <x:c r="M30" s="7" t="n">
        <x:v>22.65</x:v>
      </x:c>
      <x:c r="N30" s="10" t="str"/>
      <x:c r="O30" s="8" t="n">
        <x:v>1</x:v>
      </x:c>
    </x:row>
    <x:row r="31" ht="22" customHeight="1">
      <x:c r="A31" s="1" t="str">
        <x:v>T024</x:v>
      </x:c>
      <x:c r="B31" s="5" t="d">
        <x:v>2026-07-27T00:00:00.000Z</x:v>
      </x:c>
      <x:c r="C31" s="9" t="str">
        <x:v>CE</x:v>
      </x:c>
      <x:c r="D31" s="6" t="n">
        <x:v>0.4722222222222222</x:v>
      </x:c>
      <x:c r="E31" s="6" t="n">
        <x:v>0.47430555555555554</x:v>
      </x:c>
      <x:c r="F31" s="7" t="n">
        <x:v>23946.7</x:v>
      </x:c>
      <x:c r="G31" s="7" t="n">
        <x:v>23942.25</x:v>
      </x:c>
      <x:c r="H31" s="7" t="n">
        <x:f>IF(C31="CE",G31-F31,F31-G31)</x:f>
        <x:v>-4.450000000000728</x:v>
      </x:c>
      <x:c r="I31" s="1" t="str">
        <x:v>reference_cross</x:v>
      </x:c>
      <x:c r="J31" s="7" t="n">
        <x:v>23940.8575</x:v>
      </x:c>
      <x:c r="K31" s="7" t="n">
        <x:v>23921.7</x:v>
      </x:c>
      <x:c r="L31" s="8" t="n">
        <x:v>3</x:v>
      </x:c>
      <x:c r="M31" s="7" t="n">
        <x:v>22.65</x:v>
      </x:c>
      <x:c r="N31" s="10" t="str"/>
      <x:c r="O31" s="8" t="n">
        <x:v>2</x:v>
      </x:c>
    </x:row>
    <x:row r="32" ht="22" customHeight="1">
      <x:c r="A32" s="1" t="str">
        <x:v>T025</x:v>
      </x:c>
      <x:c r="B32" s="5" t="d">
        <x:v>2026-07-28T00:00:00.000Z</x:v>
      </x:c>
      <x:c r="C32" s="9" t="str">
        <x:v>CE</x:v>
      </x:c>
      <x:c r="D32" s="6" t="n">
        <x:v>0.40694444444444444</x:v>
      </x:c>
      <x:c r="E32" s="6" t="n">
        <x:v>0.41875</x:v>
      </x:c>
      <x:c r="F32" s="7" t="n">
        <x:v>24016.75</x:v>
      </x:c>
      <x:c r="G32" s="7" t="n">
        <x:v>23981.7</x:v>
      </x:c>
      <x:c r="H32" s="7" t="n">
        <x:f>IF(C32="CE",G32-F32,F32-G32)</x:f>
        <x:v>-35.04999999999927</x:v>
      </x:c>
      <x:c r="I32" s="1" t="str">
        <x:v>fixed_stop</x:v>
      </x:c>
      <x:c r="J32" s="7" t="n">
        <x:v>23996.99</x:v>
      </x:c>
      <x:c r="K32" s="7" t="n">
        <x:v>23991.75</x:v>
      </x:c>
      <x:c r="L32" s="8" t="n">
        <x:v>17</x:v>
      </x:c>
      <x:c r="M32" s="7" t="n">
        <x:v>46.8</x:v>
      </x:c>
      <x:c r="N32" s="10" t="str"/>
      <x:c r="O32" s="8" t="n">
        <x:v>1</x:v>
      </x:c>
    </x:row>
    <x:row r="33" ht="22" customHeight="1">
      <x:c r="A33" s="1" t="str">
        <x:v>T026</x:v>
      </x:c>
      <x:c r="B33" s="5" t="d">
        <x:v>2026-07-28T00:00:00.000Z</x:v>
      </x:c>
      <x:c r="C33" s="9" t="str">
        <x:v>CE</x:v>
      </x:c>
      <x:c r="D33" s="6" t="n">
        <x:v>0.42916666666666664</x:v>
      </x:c>
      <x:c r="E33" s="6" t="n">
        <x:v>0.43125</x:v>
      </x:c>
      <x:c r="F33" s="7" t="n">
        <x:v>24007.1</x:v>
      </x:c>
      <x:c r="G33" s="7" t="n">
        <x:v>23994</x:v>
      </x:c>
      <x:c r="H33" s="7" t="n">
        <x:f>IF(C33="CE",G33-F33,F33-G33)</x:f>
        <x:v>-13.099999999998545</x:v>
      </x:c>
      <x:c r="I33" s="1" t="str">
        <x:v>reference_cross</x:v>
      </x:c>
      <x:c r="J33" s="7" t="n">
        <x:v>23996.99</x:v>
      </x:c>
      <x:c r="K33" s="7" t="n">
        <x:v>23982.1</x:v>
      </x:c>
      <x:c r="L33" s="8" t="n">
        <x:v>3</x:v>
      </x:c>
      <x:c r="M33" s="7" t="n">
        <x:v>46.8</x:v>
      </x:c>
      <x:c r="N33" s="10" t="str"/>
      <x:c r="O33" s="8" t="n">
        <x:v>2</x:v>
      </x:c>
    </x:row>
    <x:row r="34" ht="22" customHeight="1">
      <x:c r="A34" s="1" t="str">
        <x:v>T027</x:v>
      </x:c>
      <x:c r="B34" s="5" t="d">
        <x:v>2026-07-29T00:00:00.000Z</x:v>
      </x:c>
      <x:c r="C34" s="9" t="str">
        <x:v>CE</x:v>
      </x:c>
      <x:c r="D34" s="6" t="n">
        <x:v>0.40694444444444444</x:v>
      </x:c>
      <x:c r="E34" s="6" t="n">
        <x:v>0.4152777777777778</x:v>
      </x:c>
      <x:c r="F34" s="7" t="n">
        <x:v>24207.85</x:v>
      </x:c>
      <x:c r="G34" s="7" t="n">
        <x:v>24194.3</x:v>
      </x:c>
      <x:c r="H34" s="7" t="n">
        <x:f>IF(C34="CE",G34-F34,F34-G34)</x:f>
        <x:v>-13.549999999999272</x:v>
      </x:c>
      <x:c r="I34" s="1" t="str">
        <x:v>reference_cross</x:v>
      </x:c>
      <x:c r="J34" s="7" t="n">
        <x:v>24196.2025</x:v>
      </x:c>
      <x:c r="K34" s="7" t="n">
        <x:v>24182.85</x:v>
      </x:c>
      <x:c r="L34" s="8" t="n">
        <x:v>12</x:v>
      </x:c>
      <x:c r="M34" s="7" t="n">
        <x:v>35.55</x:v>
      </x:c>
      <x:c r="N34" s="10" t="str"/>
      <x:c r="O34" s="8" t="n">
        <x:v>1</x:v>
      </x:c>
    </x:row>
    <x:row r="35" ht="22" customHeight="1">
      <x:c r="A35" s="1" t="str">
        <x:v>T028</x:v>
      </x:c>
      <x:c r="B35" s="5" t="d">
        <x:v>2026-07-29T00:00:00.000Z</x:v>
      </x:c>
      <x:c r="C35" s="9" t="str">
        <x:v>PE</x:v>
      </x:c>
      <x:c r="D35" s="6" t="n">
        <x:v>0.41597222222222224</x:v>
      </x:c>
      <x:c r="E35" s="6" t="n">
        <x:v>0.4173611111111111</x:v>
      </x:c>
      <x:c r="F35" s="7" t="n">
        <x:v>24191</x:v>
      </x:c>
      <x:c r="G35" s="7" t="n">
        <x:v>24199.1</x:v>
      </x:c>
      <x:c r="H35" s="7" t="n">
        <x:f>IF(C35="CE",G35-F35,F35-G35)</x:f>
        <x:v>-8.099999999998545</x:v>
      </x:c>
      <x:c r="I35" s="1" t="str">
        <x:v>reference_cross</x:v>
      </x:c>
      <x:c r="J35" s="7" t="n">
        <x:v>24192.6475</x:v>
      </x:c>
      <x:c r="K35" s="7" t="n">
        <x:v>24216</x:v>
      </x:c>
      <x:c r="L35" s="8" t="n">
        <x:v>2</x:v>
      </x:c>
      <x:c r="M35" s="7" t="n">
        <x:v>35.55</x:v>
      </x:c>
      <x:c r="N35" s="10" t="str"/>
      <x:c r="O35" s="8" t="n">
        <x:v>2</x:v>
      </x:c>
    </x:row>
    <x:row r="36" ht="22" customHeight="1">
      <x:c r="A36" s="1" t="str">
        <x:v>T029</x:v>
      </x:c>
      <x:c r="B36" s="5" t="d">
        <x:v>2026-08-04T00:00:00.000Z</x:v>
      </x:c>
      <x:c r="C36" s="9" t="str">
        <x:v>PE</x:v>
      </x:c>
      <x:c r="D36" s="6" t="n">
        <x:v>0.40694444444444444</x:v>
      </x:c>
      <x:c r="E36" s="6" t="n">
        <x:v>0.6354166666666666</x:v>
      </x:c>
      <x:c r="F36" s="7" t="n">
        <x:v>24625.3</x:v>
      </x:c>
      <x:c r="G36" s="7" t="n">
        <x:v>24464.45</x:v>
      </x:c>
      <x:c r="H36" s="7" t="n">
        <x:f>IF(C36="CE",G36-F36,F36-G36)</x:f>
        <x:v>160.84999999999854</x:v>
      </x:c>
      <x:c r="I36" s="1" t="str">
        <x:v>session_end</x:v>
      </x:c>
      <x:c r="J36" s="7" t="n">
        <x:v>24659.735</x:v>
      </x:c>
      <x:c r="K36" s="7" t="n">
        <x:v>24650.3</x:v>
      </x:c>
      <x:c r="L36" s="8" t="n">
        <x:v>329</x:v>
      </x:c>
      <x:c r="M36" s="7" t="n">
        <x:v>80.3</x:v>
      </x:c>
      <x:c r="N36" s="10" t="str"/>
      <x:c r="O36" s="8" t="n">
        <x:v>1</x:v>
      </x:c>
    </x:row>
    <x:row r="37" ht="22" customHeight="1">
      <x:c r="A37" s="1" t="str">
        <x:v>T030</x:v>
      </x:c>
      <x:c r="B37" s="5" t="d">
        <x:v>2026-08-05T00:00:00.000Z</x:v>
      </x:c>
      <x:c r="C37" s="9" t="str">
        <x:v>PE</x:v>
      </x:c>
      <x:c r="D37" s="6" t="n">
        <x:v>0.40694444444444444</x:v>
      </x:c>
      <x:c r="E37" s="6" t="n">
        <x:v>0.45902777777777776</x:v>
      </x:c>
      <x:c r="F37" s="7" t="n">
        <x:v>24626.65</x:v>
      </x:c>
      <x:c r="G37" s="7" t="n">
        <x:v>24654.9</x:v>
      </x:c>
      <x:c r="H37" s="7" t="n">
        <x:f>IF(C37="CE",G37-F37,F37-G37)</x:f>
        <x:v>-28.25</x:v>
      </x:c>
      <x:c r="I37" s="1" t="str">
        <x:v>fixed_stop</x:v>
      </x:c>
      <x:c r="J37" s="7" t="n">
        <x:v>24646.5675</x:v>
      </x:c>
      <x:c r="K37" s="7" t="n">
        <x:v>24651.65</x:v>
      </x:c>
      <x:c r="L37" s="8" t="n">
        <x:v>75</x:v>
      </x:c>
      <x:c r="M37" s="7" t="n">
        <x:v>41.15</x:v>
      </x:c>
      <x:c r="N37" s="10" t="str"/>
      <x:c r="O37" s="8" t="n">
        <x:v>1</x:v>
      </x:c>
    </x:row>
    <x:row r="38" ht="22" customHeight="1">
      <x:c r="A38" s="1" t="str">
        <x:v>T031</x:v>
      </x:c>
      <x:c r="B38" s="5" t="d">
        <x:v>2026-08-05T00:00:00.000Z</x:v>
      </x:c>
      <x:c r="C38" s="9" t="str">
        <x:v>CE</x:v>
      </x:c>
      <x:c r="D38" s="6" t="n">
        <x:v>0.46111111111111114</x:v>
      </x:c>
      <x:c r="E38" s="6" t="n">
        <x:v>0.4618055555555556</x:v>
      </x:c>
      <x:c r="F38" s="7" t="n">
        <x:v>24654.3</x:v>
      </x:c>
      <x:c r="G38" s="7" t="n">
        <x:v>24649.4</x:v>
      </x:c>
      <x:c r="H38" s="7" t="n">
        <x:f>IF(C38="CE",G38-F38,F38-G38)</x:f>
        <x:v>-4.899999999997817</x:v>
      </x:c>
      <x:c r="I38" s="1" t="str">
        <x:v>reference_cross</x:v>
      </x:c>
      <x:c r="J38" s="7" t="n">
        <x:v>24650.6825</x:v>
      </x:c>
      <x:c r="K38" s="7" t="n">
        <x:v>24629.3</x:v>
      </x:c>
      <x:c r="L38" s="8" t="n">
        <x:v>1</x:v>
      </x:c>
      <x:c r="M38" s="7" t="n">
        <x:v>41.15</x:v>
      </x:c>
      <x:c r="N38" s="10" t="str"/>
      <x:c r="O38" s="8" t="n">
        <x:v>2</x:v>
      </x:c>
    </x:row>
    <x:row r="39" ht="22" customHeight="1">
      <x:c r="A39" s="1" t="str">
        <x:v>T032</x:v>
      </x:c>
      <x:c r="B39" s="5" t="d">
        <x:v>2026-08-07T00:00:00.000Z</x:v>
      </x:c>
      <x:c r="C39" s="9" t="str">
        <x:v>CE</x:v>
      </x:c>
      <x:c r="D39" s="6" t="n">
        <x:v>0.40694444444444444</x:v>
      </x:c>
      <x:c r="E39" s="6" t="n">
        <x:v>0.42777777777777776</x:v>
      </x:c>
      <x:c r="F39" s="7" t="n">
        <x:v>24618.65</x:v>
      </x:c>
      <x:c r="G39" s="7" t="n">
        <x:v>24593.75</x:v>
      </x:c>
      <x:c r="H39" s="7" t="n">
        <x:f>IF(C39="CE",G39-F39,F39-G39)</x:f>
        <x:v>-24.900000000001455</x:v>
      </x:c>
      <x:c r="I39" s="1" t="str">
        <x:v>fixed_stop</x:v>
      </x:c>
      <x:c r="J39" s="7" t="n">
        <x:v>24582.515</x:v>
      </x:c>
      <x:c r="K39" s="7" t="n">
        <x:v>24593.65</x:v>
      </x:c>
      <x:c r="L39" s="8" t="n">
        <x:v>30</x:v>
      </x:c>
      <x:c r="M39" s="7" t="n">
        <x:v>79.3</x:v>
      </x:c>
      <x:c r="N39" s="10" t="str"/>
      <x:c r="O39" s="8" t="n">
        <x:v>1</x:v>
      </x:c>
    </x:row>
    <x:row r="40" ht="22" customHeight="1">
      <x:c r="A40" s="1" t="str">
        <x:v>T033</x:v>
      </x:c>
      <x:c r="B40" s="5" t="d">
        <x:v>2026-08-07T00:00:00.000Z</x:v>
      </x:c>
      <x:c r="C40" s="9" t="str">
        <x:v>CE</x:v>
      </x:c>
      <x:c r="D40" s="6" t="n">
        <x:v>0.43194444444444446</x:v>
      </x:c>
      <x:c r="E40" s="6" t="n">
        <x:v>0.4326388888888889</x:v>
      </x:c>
      <x:c r="F40" s="7" t="n">
        <x:v>24588.8</x:v>
      </x:c>
      <x:c r="G40" s="7" t="n">
        <x:v>24581.25</x:v>
      </x:c>
      <x:c r="H40" s="7" t="n">
        <x:f>IF(C40="CE",G40-F40,F40-G40)</x:f>
        <x:v>-7.549999999999272</x:v>
      </x:c>
      <x:c r="I40" s="1" t="str">
        <x:v>reference_cross</x:v>
      </x:c>
      <x:c r="J40" s="7" t="n">
        <x:v>24582.515</x:v>
      </x:c>
      <x:c r="K40" s="7" t="n">
        <x:v>24563.8</x:v>
      </x:c>
      <x:c r="L40" s="8" t="n">
        <x:v>1</x:v>
      </x:c>
      <x:c r="M40" s="7" t="n">
        <x:v>79.3</x:v>
      </x:c>
      <x:c r="N40" s="10" t="str"/>
      <x:c r="O40" s="8" t="n">
        <x:v>2</x:v>
      </x:c>
    </x:row>
    <x:row r="41" ht="22" customHeight="1">
      <x:c r="A41" s="1" t="str">
        <x:v>T034</x:v>
      </x:c>
      <x:c r="B41" s="5" t="d">
        <x:v>2026-08-10T00:00:00.000Z</x:v>
      </x:c>
      <x:c r="C41" s="9" t="str">
        <x:v>PE</x:v>
      </x:c>
      <x:c r="D41" s="6" t="n">
        <x:v>0.40694444444444444</x:v>
      </x:c>
      <x:c r="E41" s="6" t="n">
        <x:v>0.41875</x:v>
      </x:c>
      <x:c r="F41" s="7" t="n">
        <x:v>24519.3</x:v>
      </x:c>
      <x:c r="G41" s="7" t="n">
        <x:v>24546.85</x:v>
      </x:c>
      <x:c r="H41" s="7" t="n">
        <x:f>IF(C41="CE",G41-F41,F41-G41)</x:f>
        <x:v>-27.549999999999272</x:v>
      </x:c>
      <x:c r="I41" s="1" t="str">
        <x:v>fixed_stop</x:v>
      </x:c>
      <x:c r="J41" s="7" t="n">
        <x:v>24548.195</x:v>
      </x:c>
      <x:c r="K41" s="7" t="n">
        <x:v>24544.3</x:v>
      </x:c>
      <x:c r="L41" s="8" t="n">
        <x:v>17</x:v>
      </x:c>
      <x:c r="M41" s="7" t="n">
        <x:v>60.1</x:v>
      </x:c>
      <x:c r="N41" s="10" t="str"/>
      <x:c r="O41" s="8" t="n">
        <x:v>1</x:v>
      </x:c>
    </x:row>
    <x:row r="42" ht="22" customHeight="1">
      <x:c r="A42" s="1" t="str">
        <x:v>T035</x:v>
      </x:c>
      <x:c r="B42" s="5" t="d">
        <x:v>2026-08-10T00:00:00.000Z</x:v>
      </x:c>
      <x:c r="C42" s="9" t="str">
        <x:v>PE</x:v>
      </x:c>
      <x:c r="D42" s="6" t="n">
        <x:v>0.4201388888888889</x:v>
      </x:c>
      <x:c r="E42" s="6" t="n">
        <x:v>0.42777777777777776</x:v>
      </x:c>
      <x:c r="F42" s="7" t="n">
        <x:v>24539.6</x:v>
      </x:c>
      <x:c r="G42" s="7" t="n">
        <x:v>24557.6</x:v>
      </x:c>
      <x:c r="H42" s="7" t="n">
        <x:f>IF(C42="CE",G42-F42,F42-G42)</x:f>
        <x:v>-18</x:v>
      </x:c>
      <x:c r="I42" s="1" t="str">
        <x:v>reference_cross</x:v>
      </x:c>
      <x:c r="J42" s="7" t="n">
        <x:v>24548.195</x:v>
      </x:c>
      <x:c r="K42" s="7" t="n">
        <x:v>24564.6</x:v>
      </x:c>
      <x:c r="L42" s="8" t="n">
        <x:v>11</x:v>
      </x:c>
      <x:c r="M42" s="7" t="n">
        <x:v>60.1</x:v>
      </x:c>
      <x:c r="N42" s="10" t="str"/>
      <x:c r="O42" s="8" t="n">
        <x:v>2</x:v>
      </x:c>
    </x:row>
    <x:row r="43" ht="22" customHeight="1">
      <x:c r="A43" s="1" t="str">
        <x:v>T036</x:v>
      </x:c>
      <x:c r="B43" s="5" t="d">
        <x:v>2026-08-11T00:00:00.000Z</x:v>
      </x:c>
      <x:c r="C43" s="9" t="str">
        <x:v>PE</x:v>
      </x:c>
      <x:c r="D43" s="6" t="n">
        <x:v>0.40694444444444444</x:v>
      </x:c>
      <x:c r="E43" s="6" t="n">
        <x:v>0.6354166666666666</x:v>
      </x:c>
      <x:c r="F43" s="7" t="n">
        <x:v>24479.95</x:v>
      </x:c>
      <x:c r="G43" s="7" t="n">
        <x:v>24451.25</x:v>
      </x:c>
      <x:c r="H43" s="7" t="n">
        <x:f>IF(C43="CE",G43-F43,F43-G43)</x:f>
        <x:v>28.700000000000728</x:v>
      </x:c>
      <x:c r="I43" s="1" t="str">
        <x:v>session_end</x:v>
      </x:c>
      <x:c r="J43" s="7" t="n">
        <x:v>24522.3825</x:v>
      </x:c>
      <x:c r="K43" s="7" t="n">
        <x:v>24504.95</x:v>
      </x:c>
      <x:c r="L43" s="8" t="n">
        <x:v>329</x:v>
      </x:c>
      <x:c r="M43" s="7" t="n">
        <x:v>95.85</x:v>
      </x:c>
      <x:c r="N43" s="10" t="str"/>
      <x:c r="O43" s="8" t="n">
        <x:v>1</x:v>
      </x:c>
    </x:row>
    <x:row r="44" ht="22" customHeight="1">
      <x:c r="A44" s="1" t="str">
        <x:v>T037</x:v>
      </x:c>
      <x:c r="B44" s="5" t="d">
        <x:v>2026-08-12T00:00:00.000Z</x:v>
      </x:c>
      <x:c r="C44" s="9" t="str">
        <x:v>PE</x:v>
      </x:c>
      <x:c r="D44" s="6" t="n">
        <x:v>0.40694444444444444</x:v>
      </x:c>
      <x:c r="E44" s="6" t="n">
        <x:v>0.6354166666666666</x:v>
      </x:c>
      <x:c r="F44" s="7" t="n">
        <x:v>24418.9</x:v>
      </x:c>
      <x:c r="G44" s="7" t="n">
        <x:v>24362.7</x:v>
      </x:c>
      <x:c r="H44" s="7" t="n">
        <x:f>IF(C44="CE",G44-F44,F44-G44)</x:f>
        <x:v>56.20000000000073</x:v>
      </x:c>
      <x:c r="I44" s="1" t="str">
        <x:v>session_end</x:v>
      </x:c>
      <x:c r="J44" s="7" t="n">
        <x:v>24448.0025</x:v>
      </x:c>
      <x:c r="K44" s="7" t="n">
        <x:v>24443.9</x:v>
      </x:c>
      <x:c r="L44" s="8" t="n">
        <x:v>329</x:v>
      </x:c>
      <x:c r="M44" s="7" t="n">
        <x:v>44.45</x:v>
      </x:c>
      <x:c r="N44" s="10" t="str"/>
      <x:c r="O44" s="8" t="n">
        <x:v>1</x:v>
      </x:c>
    </x:row>
    <x:row r="45" ht="22" customHeight="1">
      <x:c r="A45" s="1" t="str">
        <x:v>T038</x:v>
      </x:c>
      <x:c r="B45" s="5" t="d">
        <x:v>2026-08-13T00:00:00.000Z</x:v>
      </x:c>
      <x:c r="C45" s="9" t="str">
        <x:v>PE</x:v>
      </x:c>
      <x:c r="D45" s="6" t="n">
        <x:v>0.40694444444444444</x:v>
      </x:c>
      <x:c r="E45" s="6" t="n">
        <x:v>0.49930555555555556</x:v>
      </x:c>
      <x:c r="F45" s="7" t="n">
        <x:v>24349.1</x:v>
      </x:c>
      <x:c r="G45" s="7" t="n">
        <x:v>24379.2</x:v>
      </x:c>
      <x:c r="H45" s="7" t="n">
        <x:f>IF(C45="CE",G45-F45,F45-G45)</x:f>
        <x:v>-30.100000000002183</x:v>
      </x:c>
      <x:c r="I45" s="1" t="str">
        <x:v>fixed_stop</x:v>
      </x:c>
      <x:c r="J45" s="7" t="n">
        <x:v>24384.7125</x:v>
      </x:c>
      <x:c r="K45" s="7" t="n">
        <x:v>24374.1</x:v>
      </x:c>
      <x:c r="L45" s="8" t="n">
        <x:v>133</x:v>
      </x:c>
      <x:c r="M45" s="7" t="n">
        <x:v>85.25</x:v>
      </x:c>
      <x:c r="N45" s="10" t="str"/>
      <x:c r="O45" s="8" t="n">
        <x:v>1</x:v>
      </x:c>
    </x:row>
    <x:row r="46" ht="22" customHeight="1">
      <x:c r="A46" s="1" t="str">
        <x:v>T039</x:v>
      </x:c>
      <x:c r="B46" s="5" t="d">
        <x:v>2026-08-13T00:00:00.000Z</x:v>
      </x:c>
      <x:c r="C46" s="9" t="str">
        <x:v>CE</x:v>
      </x:c>
      <x:c r="D46" s="6" t="n">
        <x:v>0.5006944444444444</x:v>
      </x:c>
      <x:c r="E46" s="6" t="n">
        <x:v>0.5090277777777777</x:v>
      </x:c>
      <x:c r="F46" s="7" t="n">
        <x:v>24405.25</x:v>
      </x:c>
      <x:c r="G46" s="7" t="n">
        <x:v>24393.15</x:v>
      </x:c>
      <x:c r="H46" s="7" t="n">
        <x:f>IF(C46="CE",G46-F46,F46-G46)</x:f>
        <x:v>-12.099999999998545</x:v>
      </x:c>
      <x:c r="I46" s="1" t="str">
        <x:v>reference_cross</x:v>
      </x:c>
      <x:c r="J46" s="7" t="n">
        <x:v>24393.2375</x:v>
      </x:c>
      <x:c r="K46" s="7" t="n">
        <x:v>24380.25</x:v>
      </x:c>
      <x:c r="L46" s="8" t="n">
        <x:v>12</x:v>
      </x:c>
      <x:c r="M46" s="7" t="n">
        <x:v>85.25</x:v>
      </x:c>
      <x:c r="N46" s="10" t="str"/>
      <x:c r="O46" s="8" t="n">
        <x:v>2</x:v>
      </x:c>
    </x:row>
    <x:row r="47" ht="22" customHeight="1">
      <x:c r="A47" s="1" t="str">
        <x:v>T040</x:v>
      </x:c>
      <x:c r="B47" s="5" t="d">
        <x:v>2026-08-14T00:00:00.000Z</x:v>
      </x:c>
      <x:c r="C47" s="9" t="str">
        <x:v>PE</x:v>
      </x:c>
      <x:c r="D47" s="6" t="n">
        <x:v>0.40694444444444444</x:v>
      </x:c>
      <x:c r="E47" s="6" t="n">
        <x:v>0.4173611111111111</x:v>
      </x:c>
      <x:c r="F47" s="7" t="n">
        <x:v>24335.85</x:v>
      </x:c>
      <x:c r="G47" s="7" t="n">
        <x:v>24348.1</x:v>
      </x:c>
      <x:c r="H47" s="7" t="n">
        <x:f>IF(C47="CE",G47-F47,F47-G47)</x:f>
        <x:v>-12.25</x:v>
      </x:c>
      <x:c r="I47" s="1" t="str">
        <x:v>reference_cross</x:v>
      </x:c>
      <x:c r="J47" s="7" t="n">
        <x:v>24345.4825</x:v>
      </x:c>
      <x:c r="K47" s="7" t="n">
        <x:v>24360.85</x:v>
      </x:c>
      <x:c r="L47" s="8" t="n">
        <x:v>15</x:v>
      </x:c>
      <x:c r="M47" s="7" t="n">
        <x:v>29.85</x:v>
      </x:c>
      <x:c r="N47" s="10" t="str"/>
      <x:c r="O47" s="8" t="n">
        <x:v>1</x:v>
      </x:c>
    </x:row>
    <x:row r="48" ht="22" customHeight="1">
      <x:c r="A48" s="1" t="str">
        <x:v>T041</x:v>
      </x:c>
      <x:c r="B48" s="5" t="d">
        <x:v>2026-08-14T00:00:00.000Z</x:v>
      </x:c>
      <x:c r="C48" s="9" t="str">
        <x:v>PE</x:v>
      </x:c>
      <x:c r="D48" s="6" t="n">
        <x:v>0.41805555555555557</x:v>
      </x:c>
      <x:c r="E48" s="6" t="n">
        <x:v>0.41875</x:v>
      </x:c>
      <x:c r="F48" s="7" t="n">
        <x:v>24344.05</x:v>
      </x:c>
      <x:c r="G48" s="7" t="n">
        <x:v>24352</x:v>
      </x:c>
      <x:c r="H48" s="7" t="n">
        <x:f>IF(C48="CE",G48-F48,F48-G48)</x:f>
        <x:v>-7.950000000000728</x:v>
      </x:c>
      <x:c r="I48" s="1" t="str">
        <x:v>reference_cross</x:v>
      </x:c>
      <x:c r="J48" s="7" t="n">
        <x:v>24345.4825</x:v>
      </x:c>
      <x:c r="K48" s="7" t="n">
        <x:v>24369.05</x:v>
      </x:c>
      <x:c r="L48" s="8" t="n">
        <x:v>1</x:v>
      </x:c>
      <x:c r="M48" s="7" t="n">
        <x:v>29.85</x:v>
      </x:c>
      <x:c r="N48" s="10" t="str"/>
      <x:c r="O48" s="8" t="n">
        <x:v>2</x:v>
      </x:c>
    </x:row>
    <x:row r="49" ht="22" customHeight="1">
      <x:c r="A49" s="1" t="str">
        <x:v>T042</x:v>
      </x:c>
      <x:c r="B49" s="5" t="d">
        <x:v>2026-08-17T00:00:00.000Z</x:v>
      </x:c>
      <x:c r="C49" s="9" t="str">
        <x:v>PE</x:v>
      </x:c>
      <x:c r="D49" s="6" t="n">
        <x:v>0.40694444444444444</x:v>
      </x:c>
      <x:c r="E49" s="6" t="n">
        <x:v>0.5173611111111112</x:v>
      </x:c>
      <x:c r="F49" s="7" t="n">
        <x:v>24301.05</x:v>
      </x:c>
      <x:c r="G49" s="7" t="n">
        <x:v>24287.4</x:v>
      </x:c>
      <x:c r="H49" s="7" t="n">
        <x:f>IF(C49="CE",G49-F49,F49-G49)</x:f>
        <x:v>13.649999999997817</x:v>
      </x:c>
      <x:c r="I49" s="1" t="str">
        <x:v>reference_cross</x:v>
      </x:c>
      <x:c r="J49" s="7" t="n">
        <x:v>24320.295</x:v>
      </x:c>
      <x:c r="K49" s="7" t="n">
        <x:v>24326.05</x:v>
      </x:c>
      <x:c r="L49" s="8" t="n">
        <x:v>159</x:v>
      </x:c>
      <x:c r="M49" s="7" t="n">
        <x:v>42.1</x:v>
      </x:c>
      <x:c r="N49" s="10" t="str"/>
      <x:c r="O49" s="8" t="n">
        <x:v>1</x:v>
      </x:c>
    </x:row>
    <x:row r="50" ht="22" customHeight="1">
      <x:c r="A50" s="1" t="str">
        <x:v>T043</x:v>
      </x:c>
      <x:c r="B50" s="5" t="d">
        <x:v>2026-08-17T00:00:00.000Z</x:v>
      </x:c>
      <x:c r="C50" s="9" t="str">
        <x:v>PE</x:v>
      </x:c>
      <x:c r="D50" s="6" t="n">
        <x:v>0.5180555555555556</x:v>
      </x:c>
      <x:c r="E50" s="6" t="n">
        <x:v>0.5194444444444445</x:v>
      </x:c>
      <x:c r="F50" s="7" t="n">
        <x:v>24284.15</x:v>
      </x:c>
      <x:c r="G50" s="7" t="n">
        <x:v>24288.25</x:v>
      </x:c>
      <x:c r="H50" s="7" t="n">
        <x:f>IF(C50="CE",G50-F50,F50-G50)</x:f>
        <x:v>-4.099999999998545</x:v>
      </x:c>
      <x:c r="I50" s="1" t="str">
        <x:v>reference_cross</x:v>
      </x:c>
      <x:c r="J50" s="7" t="n">
        <x:v>24286</x:v>
      </x:c>
      <x:c r="K50" s="7" t="n">
        <x:v>24309.15</x:v>
      </x:c>
      <x:c r="L50" s="8" t="n">
        <x:v>2</x:v>
      </x:c>
      <x:c r="M50" s="7" t="n">
        <x:v>42.1</x:v>
      </x:c>
      <x:c r="N50" s="10" t="str"/>
      <x:c r="O50" s="8" t="n">
        <x:v>2</x:v>
      </x:c>
    </x:row>
    <x:row r="51" ht="22" customHeight="1">
      <x:c r="A51" s="1" t="str">
        <x:v>T044</x:v>
      </x:c>
      <x:c r="B51" s="5" t="d">
        <x:v>2026-08-19T00:00:00.000Z</x:v>
      </x:c>
      <x:c r="C51" s="9" t="str">
        <x:v>PE</x:v>
      </x:c>
      <x:c r="D51" s="6" t="n">
        <x:v>0.40694444444444444</x:v>
      </x:c>
      <x:c r="E51" s="6" t="n">
        <x:v>0.6354166666666666</x:v>
      </x:c>
      <x:c r="F51" s="7" t="n">
        <x:v>24083.15</x:v>
      </x:c>
      <x:c r="G51" s="7" t="n">
        <x:v>24049.55</x:v>
      </x:c>
      <x:c r="H51" s="7" t="n">
        <x:f>IF(C51="CE",G51-F51,F51-G51)</x:f>
        <x:v>33.60000000000218</x:v>
      </x:c>
      <x:c r="I51" s="1" t="str">
        <x:v>session_end</x:v>
      </x:c>
      <x:c r="J51" s="7" t="n">
        <x:v>24114.925</x:v>
      </x:c>
      <x:c r="K51" s="7" t="n">
        <x:v>24108.15</x:v>
      </x:c>
      <x:c r="L51" s="8" t="n">
        <x:v>329</x:v>
      </x:c>
      <x:c r="M51" s="7" t="n">
        <x:v>67.5</x:v>
      </x:c>
      <x:c r="N51" s="10" t="str"/>
      <x:c r="O51" s="8" t="n">
        <x:v>1</x:v>
      </x:c>
    </x:row>
    <x:row r="52" ht="22" customHeight="1">
      <x:c r="A52" s="1" t="str">
        <x:v>T045</x:v>
      </x:c>
      <x:c r="B52" s="5" t="d">
        <x:v>2026-08-21T00:00:00.000Z</x:v>
      </x:c>
      <x:c r="C52" s="9" t="str">
        <x:v>PE</x:v>
      </x:c>
      <x:c r="D52" s="6" t="n">
        <x:v>0.40694444444444444</x:v>
      </x:c>
      <x:c r="E52" s="6" t="n">
        <x:v>0.4534722222222222</x:v>
      </x:c>
      <x:c r="F52" s="7" t="n">
        <x:v>24244.5</x:v>
      </x:c>
      <x:c r="G52" s="7" t="n">
        <x:v>24263.35</x:v>
      </x:c>
      <x:c r="H52" s="7" t="n">
        <x:f>IF(C52="CE",G52-F52,F52-G52)</x:f>
        <x:v>-18.849999999998545</x:v>
      </x:c>
      <x:c r="I52" s="1" t="str">
        <x:v>reference_cross</x:v>
      </x:c>
      <x:c r="J52" s="7" t="n">
        <x:v>24261.94</x:v>
      </x:c>
      <x:c r="K52" s="7" t="n">
        <x:v>24269.5</x:v>
      </x:c>
      <x:c r="L52" s="8" t="n">
        <x:v>67</x:v>
      </x:c>
      <x:c r="M52" s="7" t="n">
        <x:v>40.2</x:v>
      </x:c>
      <x:c r="N52" s="10" t="str"/>
      <x:c r="O52" s="8" t="n">
        <x:v>1</x:v>
      </x:c>
    </x:row>
    <x:row r="53" ht="22" customHeight="1">
      <x:c r="A53" s="1" t="str">
        <x:v>T046</x:v>
      </x:c>
      <x:c r="B53" s="5" t="d">
        <x:v>2026-08-21T00:00:00.000Z</x:v>
      </x:c>
      <x:c r="C53" s="9" t="str">
        <x:v>PE</x:v>
      </x:c>
      <x:c r="D53" s="6" t="n">
        <x:v>0.45555555555555555</x:v>
      </x:c>
      <x:c r="E53" s="6" t="n">
        <x:v>0.45902777777777776</x:v>
      </x:c>
      <x:c r="F53" s="7" t="n">
        <x:v>24260.05</x:v>
      </x:c>
      <x:c r="G53" s="7" t="n">
        <x:v>24263.8</x:v>
      </x:c>
      <x:c r="H53" s="7" t="n">
        <x:f>IF(C53="CE",G53-F53,F53-G53)</x:f>
        <x:v>-3.75</x:v>
      </x:c>
      <x:c r="I53" s="1" t="str">
        <x:v>reference_cross</x:v>
      </x:c>
      <x:c r="J53" s="7" t="n">
        <x:v>24261.94</x:v>
      </x:c>
      <x:c r="K53" s="7" t="n">
        <x:v>24285.05</x:v>
      </x:c>
      <x:c r="L53" s="8" t="n">
        <x:v>5</x:v>
      </x:c>
      <x:c r="M53" s="7" t="n">
        <x:v>40.2</x:v>
      </x:c>
      <x:c r="N53" s="10" t="str"/>
      <x:c r="O53" s="8" t="n">
        <x:v>2</x:v>
      </x:c>
    </x:row>
    <x:row r="54" ht="22" customHeight="1">
      <x:c r="A54" s="1" t="str">
        <x:v>T047</x:v>
      </x:c>
      <x:c r="B54" s="5" t="d">
        <x:v>2026-08-25T00:00:00.000Z</x:v>
      </x:c>
      <x:c r="C54" s="9" t="str">
        <x:v>PE</x:v>
      </x:c>
      <x:c r="D54" s="6" t="n">
        <x:v>0.40694444444444444</x:v>
      </x:c>
      <x:c r="E54" s="6" t="n">
        <x:v>0.49722222222222223</x:v>
      </x:c>
      <x:c r="F54" s="7" t="n">
        <x:v>24153.9</x:v>
      </x:c>
      <x:c r="G54" s="7" t="n">
        <x:v>24186.65</x:v>
      </x:c>
      <x:c r="H54" s="7" t="n">
        <x:f>IF(C54="CE",G54-F54,F54-G54)</x:f>
        <x:v>-32.75</x:v>
      </x:c>
      <x:c r="I54" s="1" t="str">
        <x:v>fixed_stop</x:v>
      </x:c>
      <x:c r="J54" s="7" t="n">
        <x:v>24164.255</x:v>
      </x:c>
      <x:c r="K54" s="7" t="n">
        <x:v>24178.9</x:v>
      </x:c>
      <x:c r="L54" s="8" t="n">
        <x:v>130</x:v>
      </x:c>
      <x:c r="M54" s="7" t="n">
        <x:v>20.9</x:v>
      </x:c>
      <x:c r="N54" s="10" t="str"/>
      <x:c r="O54" s="8" t="n">
        <x:v>1</x:v>
      </x:c>
    </x:row>
    <x:row r="55" ht="22" customHeight="1">
      <x:c r="A55" s="1" t="str">
        <x:v>T048</x:v>
      </x:c>
      <x:c r="B55" s="5" t="d">
        <x:v>2026-08-25T00:00:00.000Z</x:v>
      </x:c>
      <x:c r="C55" s="9" t="str">
        <x:v>PE</x:v>
      </x:c>
      <x:c r="D55" s="6" t="n">
        <x:v>0.5215277777777778</x:v>
      </x:c>
      <x:c r="E55" s="6" t="n">
        <x:v>0.5222222222222223</x:v>
      </x:c>
      <x:c r="F55" s="7" t="n">
        <x:v>24163</x:v>
      </x:c>
      <x:c r="G55" s="7" t="n">
        <x:v>24173.55</x:v>
      </x:c>
      <x:c r="H55" s="7" t="n">
        <x:f>IF(C55="CE",G55-F55,F55-G55)</x:f>
        <x:v>-10.549999999999272</x:v>
      </x:c>
      <x:c r="I55" s="1" t="str">
        <x:v>reference_cross</x:v>
      </x:c>
      <x:c r="J55" s="7" t="n">
        <x:v>24164.255</x:v>
      </x:c>
      <x:c r="K55" s="7" t="n">
        <x:v>24188</x:v>
      </x:c>
      <x:c r="L55" s="8" t="n">
        <x:v>1</x:v>
      </x:c>
      <x:c r="M55" s="7" t="n">
        <x:v>20.9</x:v>
      </x:c>
      <x:c r="N55" s="10" t="str"/>
      <x:c r="O55" s="8" t="n">
        <x:v>2</x:v>
      </x:c>
    </x:row>
    <x:row r="56" ht="22" customHeight="1">
      <x:c r="A56" s="1" t="str">
        <x:v>T049</x:v>
      </x:c>
      <x:c r="B56" s="5" t="d">
        <x:v>2026-08-26T00:00:00.000Z</x:v>
      </x:c>
      <x:c r="C56" s="9" t="str">
        <x:v>CE</x:v>
      </x:c>
      <x:c r="D56" s="6" t="n">
        <x:v>0.40694444444444444</x:v>
      </x:c>
      <x:c r="E56" s="6" t="n">
        <x:v>0.41875</x:v>
      </x:c>
      <x:c r="F56" s="7" t="n">
        <x:v>24375.7</x:v>
      </x:c>
      <x:c r="G56" s="7" t="n">
        <x:v>24352.8</x:v>
      </x:c>
      <x:c r="H56" s="7" t="n">
        <x:f>IF(C56="CE",G56-F56,F56-G56)</x:f>
        <x:v>-22.900000000001455</x:v>
      </x:c>
      <x:c r="I56" s="1" t="str">
        <x:v>reference_cross</x:v>
      </x:c>
      <x:c r="J56" s="7" t="n">
        <x:v>24358.2575</x:v>
      </x:c>
      <x:c r="K56" s="7" t="n">
        <x:v>24350.7</x:v>
      </x:c>
      <x:c r="L56" s="8" t="n">
        <x:v>17</x:v>
      </x:c>
      <x:c r="M56" s="7" t="n">
        <x:v>29.65</x:v>
      </x:c>
      <x:c r="N56" s="10" t="str"/>
      <x:c r="O56" s="8" t="n">
        <x:v>1</x:v>
      </x:c>
    </x:row>
    <x:row r="57" ht="22" customHeight="1">
      <x:c r="A57" s="1" t="str">
        <x:v>T050</x:v>
      </x:c>
      <x:c r="B57" s="5" t="d">
        <x:v>2026-08-26T00:00:00.000Z</x:v>
      </x:c>
      <x:c r="C57" s="9" t="str">
        <x:v>PE</x:v>
      </x:c>
      <x:c r="D57" s="6" t="n">
        <x:v>0.4215277777777778</x:v>
      </x:c>
      <x:c r="E57" s="6" t="n">
        <x:v>0.6354166666666666</x:v>
      </x:c>
      <x:c r="F57" s="7" t="n">
        <x:v>24349.7</x:v>
      </x:c>
      <x:c r="G57" s="7" t="n">
        <x:v>24277.9</x:v>
      </x:c>
      <x:c r="H57" s="7" t="n">
        <x:f>IF(C57="CE",G57-F57,F57-G57)</x:f>
        <x:v>71.79999999999927</x:v>
      </x:c>
      <x:c r="I57" s="1" t="str">
        <x:v>session_end</x:v>
      </x:c>
      <x:c r="J57" s="7" t="n">
        <x:v>24355.2925</x:v>
      </x:c>
      <x:c r="K57" s="7" t="n">
        <x:v>24374.7</x:v>
      </x:c>
      <x:c r="L57" s="8" t="n">
        <x:v>308</x:v>
      </x:c>
      <x:c r="M57" s="7" t="n">
        <x:v>29.65</x:v>
      </x:c>
      <x:c r="N57" s="10" t="str"/>
      <x:c r="O57" s="8" t="n">
        <x:v>2</x:v>
      </x:c>
    </x:row>
    <x:row r="58" ht="22" customHeight="1">
      <x:c r="A58" s="1" t="str">
        <x:v>T051</x:v>
      </x:c>
      <x:c r="B58" s="5" t="d">
        <x:v>2026-08-27T00:00:00.000Z</x:v>
      </x:c>
      <x:c r="C58" s="9" t="str">
        <x:v>PE</x:v>
      </x:c>
      <x:c r="D58" s="6" t="n">
        <x:v>0.40694444444444444</x:v>
      </x:c>
      <x:c r="E58" s="6" t="n">
        <x:v>0.6354166666666666</x:v>
      </x:c>
      <x:c r="F58" s="7" t="n">
        <x:v>24216.6</x:v>
      </x:c>
      <x:c r="G58" s="7" t="n">
        <x:v>24134.05</x:v>
      </x:c>
      <x:c r="H58" s="7" t="n">
        <x:f>IF(C58="CE",G58-F58,F58-G58)</x:f>
        <x:v>82.54999999999927</x:v>
      </x:c>
      <x:c r="I58" s="1" t="str">
        <x:v>session_end</x:v>
      </x:c>
      <x:c r="J58" s="7" t="n">
        <x:v>24242.84</x:v>
      </x:c>
      <x:c r="K58" s="7" t="n">
        <x:v>24241.6</x:v>
      </x:c>
      <x:c r="L58" s="8" t="n">
        <x:v>329</x:v>
      </x:c>
      <x:c r="M58" s="7" t="n">
        <x:v>63.2</x:v>
      </x:c>
      <x:c r="N58" s="10" t="str"/>
      <x:c r="O58" s="8" t="n">
        <x:v>1</x:v>
      </x:c>
    </x:row>
    <x:row r="59" ht="22" customHeight="1">
      <x:c r="A59" s="1" t="str">
        <x:v>T052</x:v>
      </x:c>
      <x:c r="B59" s="5" t="d">
        <x:v>2026-08-28T00:00:00.000Z</x:v>
      </x:c>
      <x:c r="C59" s="9" t="str">
        <x:v>CE</x:v>
      </x:c>
      <x:c r="D59" s="6" t="n">
        <x:v>0.40694444444444444</x:v>
      </x:c>
      <x:c r="E59" s="6" t="n">
        <x:v>0.4215277777777778</x:v>
      </x:c>
      <x:c r="F59" s="7" t="n">
        <x:v>24162.15</x:v>
      </x:c>
      <x:c r="G59" s="7" t="n">
        <x:v>24142.65</x:v>
      </x:c>
      <x:c r="H59" s="7" t="n">
        <x:f>IF(C59="CE",G59-F59,F59-G59)</x:f>
        <x:v>-19.5</x:v>
      </x:c>
      <x:c r="I59" s="1" t="str">
        <x:v>reference_cross</x:v>
      </x:c>
      <x:c r="J59" s="7" t="n">
        <x:v>24143.1975</x:v>
      </x:c>
      <x:c r="K59" s="7" t="n">
        <x:v>24137.15</x:v>
      </x:c>
      <x:c r="L59" s="8" t="n">
        <x:v>21</x:v>
      </x:c>
      <x:c r="M59" s="7" t="n">
        <x:v>37.45</x:v>
      </x:c>
      <x:c r="N59" s="10" t="str"/>
      <x:c r="O59" s="8" t="n">
        <x:v>1</x:v>
      </x:c>
    </x:row>
    <x:row r="60" ht="22" customHeight="1">
      <x:c r="A60" s="1" t="str">
        <x:v>T053</x:v>
      </x:c>
      <x:c r="B60" s="5" t="d">
        <x:v>2026-08-28T00:00:00.000Z</x:v>
      </x:c>
      <x:c r="C60" s="9" t="str">
        <x:v>CE</x:v>
      </x:c>
      <x:c r="D60" s="6" t="n">
        <x:v>0.4222222222222222</x:v>
      </x:c>
      <x:c r="E60" s="6" t="n">
        <x:v>0.4652777777777778</x:v>
      </x:c>
      <x:c r="F60" s="7" t="n">
        <x:v>24155.05</x:v>
      </x:c>
      <x:c r="G60" s="7" t="n">
        <x:v>24142.05</x:v>
      </x:c>
      <x:c r="H60" s="7" t="n">
        <x:f>IF(C60="CE",G60-F60,F60-G60)</x:f>
        <x:v>-13</x:v>
      </x:c>
      <x:c r="I60" s="1" t="str">
        <x:v>reference_cross</x:v>
      </x:c>
      <x:c r="J60" s="7" t="n">
        <x:v>24143.1975</x:v>
      </x:c>
      <x:c r="K60" s="7" t="n">
        <x:v>24130.05</x:v>
      </x:c>
      <x:c r="L60" s="8" t="n">
        <x:v>62</x:v>
      </x:c>
      <x:c r="M60" s="7" t="n">
        <x:v>37.45</x:v>
      </x:c>
      <x:c r="N60" s="10" t="str"/>
      <x:c r="O60" s="8" t="n">
        <x:v>2</x:v>
      </x:c>
    </x:row>
    <x:row r="61" ht="22" customHeight="1">
      <x:c r="A61" s="1" t="str">
        <x:v>T054</x:v>
      </x:c>
      <x:c r="B61" s="5" t="d">
        <x:v>2026-08-31T00:00:00.000Z</x:v>
      </x:c>
      <x:c r="C61" s="9" t="str">
        <x:v>PE</x:v>
      </x:c>
      <x:c r="D61" s="6" t="n">
        <x:v>0.40694444444444444</x:v>
      </x:c>
      <x:c r="E61" s="6" t="n">
        <x:v>0.4965277777777778</x:v>
      </x:c>
      <x:c r="F61" s="7" t="n">
        <x:v>24027.3</x:v>
      </x:c>
      <x:c r="G61" s="7" t="n">
        <x:v>24075.25</x:v>
      </x:c>
      <x:c r="H61" s="7" t="n">
        <x:f>IF(C61="CE",G61-F61,F61-G61)</x:f>
        <x:v>-47.95000000000073</x:v>
      </x:c>
      <x:c r="I61" s="1" t="str">
        <x:v>fixed_stop</x:v>
      </x:c>
      <x:c r="J61" s="7" t="n">
        <x:v>24066.235</x:v>
      </x:c>
      <x:c r="K61" s="7" t="n">
        <x:v>24052.3</x:v>
      </x:c>
      <x:c r="L61" s="8" t="n">
        <x:v>129</x:v>
      </x:c>
      <x:c r="M61" s="7" t="n">
        <x:v>93.3</x:v>
      </x:c>
      <x:c r="N61" s="10" t="str"/>
      <x:c r="O61" s="8" t="n">
        <x:v>1</x:v>
      </x:c>
    </x:row>
    <x:row r="62" ht="22" customHeight="1">
      <x:c r="A62" s="1" t="str">
        <x:v>T055</x:v>
      </x:c>
      <x:c r="B62" s="5" t="d">
        <x:v>2026-08-31T00:00:00.000Z</x:v>
      </x:c>
      <x:c r="C62" s="9" t="str">
        <x:v>CE</x:v>
      </x:c>
      <x:c r="D62" s="6" t="n">
        <x:v>0.4979166666666667</x:v>
      </x:c>
      <x:c r="E62" s="6" t="n">
        <x:v>0.49930555555555556</x:v>
      </x:c>
      <x:c r="F62" s="7" t="n">
        <x:v>24086.1</x:v>
      </x:c>
      <x:c r="G62" s="7" t="n">
        <x:v>24070.9</x:v>
      </x:c>
      <x:c r="H62" s="7" t="n">
        <x:f>IF(C62="CE",G62-F62,F62-G62)</x:f>
        <x:v>-15.19999999999709</x:v>
      </x:c>
      <x:c r="I62" s="1" t="str">
        <x:v>reference_cross</x:v>
      </x:c>
      <x:c r="J62" s="7" t="n">
        <x:v>24075.565</x:v>
      </x:c>
      <x:c r="K62" s="7" t="n">
        <x:v>24061.1</x:v>
      </x:c>
      <x:c r="L62" s="8" t="n">
        <x:v>2</x:v>
      </x:c>
      <x:c r="M62" s="7" t="n">
        <x:v>93.3</x:v>
      </x:c>
      <x:c r="N62" s="10" t="str"/>
      <x:c r="O62" s="8" t="n">
        <x:v>2</x:v>
      </x:c>
    </x:row>
    <x:row r="63" ht="22" customHeight="1">
      <x:c r="A63" s="1" t="str">
        <x:v>T056</x:v>
      </x:c>
      <x:c r="B63" s="5" t="d">
        <x:v>2026-09-01T00:00:00.000Z</x:v>
      </x:c>
      <x:c r="C63" s="9" t="str">
        <x:v>PE</x:v>
      </x:c>
      <x:c r="D63" s="6" t="n">
        <x:v>0.40694444444444444</x:v>
      </x:c>
      <x:c r="E63" s="6" t="n">
        <x:v>0.42916666666666664</x:v>
      </x:c>
      <x:c r="F63" s="7" t="n">
        <x:v>24026.55</x:v>
      </x:c>
      <x:c r="G63" s="7" t="n">
        <x:v>24054.75</x:v>
      </x:c>
      <x:c r="H63" s="7" t="n">
        <x:f>IF(C63="CE",G63-F63,F63-G63)</x:f>
        <x:v>-28.200000000000728</x:v>
      </x:c>
      <x:c r="I63" s="1" t="str">
        <x:v>fixed_stop</x:v>
      </x:c>
      <x:c r="J63" s="7" t="n">
        <x:v>24050.49</x:v>
      </x:c>
      <x:c r="K63" s="7" t="n">
        <x:v>24051.55</x:v>
      </x:c>
      <x:c r="L63" s="8" t="n">
        <x:v>32</x:v>
      </x:c>
      <x:c r="M63" s="7" t="n">
        <x:v>49.2</x:v>
      </x:c>
      <x:c r="N63" s="10" t="str"/>
      <x:c r="O63" s="8" t="n">
        <x:v>1</x:v>
      </x:c>
    </x:row>
    <x:row r="64" ht="22" customHeight="1">
      <x:c r="A64" s="1" t="str">
        <x:v>T057</x:v>
      </x:c>
      <x:c r="B64" s="5" t="d">
        <x:v>2026-09-01T00:00:00.000Z</x:v>
      </x:c>
      <x:c r="C64" s="9" t="str">
        <x:v>PE</x:v>
      </x:c>
      <x:c r="D64" s="6" t="n">
        <x:v>0.4305555555555556</x:v>
      </x:c>
      <x:c r="E64" s="6" t="n">
        <x:v>0.43194444444444446</x:v>
      </x:c>
      <x:c r="F64" s="7" t="n">
        <x:v>24051.3</x:v>
      </x:c>
      <x:c r="G64" s="7" t="n">
        <x:v>24054.6</x:v>
      </x:c>
      <x:c r="H64" s="7" t="n">
        <x:f>IF(C64="CE",G64-F64,F64-G64)</x:f>
        <x:v>-3.2999999999992724</x:v>
      </x:c>
      <x:c r="I64" s="1" t="str">
        <x:v>reference_cross</x:v>
      </x:c>
      <x:c r="J64" s="7" t="n">
        <x:v>24050.49</x:v>
      </x:c>
      <x:c r="K64" s="7" t="n">
        <x:v>24076.3</x:v>
      </x:c>
      <x:c r="L64" s="8" t="n">
        <x:v>2</x:v>
      </x:c>
      <x:c r="M64" s="7" t="n">
        <x:v>49.2</x:v>
      </x:c>
      <x:c r="N64" s="10" t="str"/>
      <x:c r="O64" s="8" t="n">
        <x:v>2</x:v>
      </x:c>
    </x:row>
    <x:row r="65" ht="22" customHeight="1">
      <x:c r="A65" s="1" t="str">
        <x:v>T058</x:v>
      </x:c>
      <x:c r="B65" s="5" t="d">
        <x:v>2026-09-07T00:00:00.000Z</x:v>
      </x:c>
      <x:c r="C65" s="9" t="str">
        <x:v>PE</x:v>
      </x:c>
      <x:c r="D65" s="6" t="n">
        <x:v>0.40694444444444444</x:v>
      </x:c>
      <x:c r="E65" s="6" t="n">
        <x:v>0.6354166666666666</x:v>
      </x:c>
      <x:c r="F65" s="7" t="n">
        <x:v>23839.1</x:v>
      </x:c>
      <x:c r="G65" s="7" t="n">
        <x:v>23761.3</x:v>
      </x:c>
      <x:c r="H65" s="7" t="n">
        <x:f>IF(C65="CE",G65-F65,F65-G65)</x:f>
        <x:v>77.79999999999927</x:v>
      </x:c>
      <x:c r="I65" s="1" t="str">
        <x:v>session_end</x:v>
      </x:c>
      <x:c r="J65" s="7" t="n">
        <x:v>23857.135</x:v>
      </x:c>
      <x:c r="K65" s="7" t="n">
        <x:v>23864.1</x:v>
      </x:c>
      <x:c r="L65" s="8" t="n">
        <x:v>329</x:v>
      </x:c>
      <x:c r="M65" s="7" t="n">
        <x:v>47.3</x:v>
      </x:c>
      <x:c r="N65" s="10" t="str"/>
      <x:c r="O65" s="8" t="n">
        <x:v>1</x:v>
      </x:c>
    </x:row>
    <x:row r="66" ht="22" customHeight="1">
      <x:c r="A66" s="1" t="str">
        <x:v>T059</x:v>
      </x:c>
      <x:c r="B66" s="5" t="d">
        <x:v>2026-09-08T00:00:00.000Z</x:v>
      </x:c>
      <x:c r="C66" s="9" t="str">
        <x:v>PE</x:v>
      </x:c>
      <x:c r="D66" s="6" t="n">
        <x:v>0.40694444444444444</x:v>
      </x:c>
      <x:c r="E66" s="6" t="n">
        <x:v>0.4270833333333333</x:v>
      </x:c>
      <x:c r="F66" s="7" t="n">
        <x:v>23674</x:v>
      </x:c>
      <x:c r="G66" s="7" t="n">
        <x:v>23709.75</x:v>
      </x:c>
      <x:c r="H66" s="7" t="n">
        <x:f>IF(C66="CE",G66-F66,F66-G66)</x:f>
        <x:v>-35.75</x:v>
      </x:c>
      <x:c r="I66" s="1" t="str">
        <x:v>fixed_stop</x:v>
      </x:c>
      <x:c r="J66" s="7" t="n">
        <x:v>23705.2875</x:v>
      </x:c>
      <x:c r="K66" s="7" t="n">
        <x:v>23699</x:v>
      </x:c>
      <x:c r="L66" s="8" t="n">
        <x:v>29</x:v>
      </x:c>
      <x:c r="M66" s="7" t="n">
        <x:v>68.75</x:v>
      </x:c>
      <x:c r="N66" s="10" t="str"/>
      <x:c r="O66" s="8" t="n">
        <x:v>1</x:v>
      </x:c>
    </x:row>
    <x:row r="67" ht="22" customHeight="1">
      <x:c r="A67" s="1" t="str">
        <x:v>T060</x:v>
      </x:c>
      <x:c r="B67" s="5" t="d">
        <x:v>2026-09-08T00:00:00.000Z</x:v>
      </x:c>
      <x:c r="C67" s="9" t="str">
        <x:v>PE</x:v>
      </x:c>
      <x:c r="D67" s="6" t="n">
        <x:v>0.42916666666666664</x:v>
      </x:c>
      <x:c r="E67" s="6" t="n">
        <x:v>0.43125</x:v>
      </x:c>
      <x:c r="F67" s="7" t="n">
        <x:v>23703.15</x:v>
      </x:c>
      <x:c r="G67" s="7" t="n">
        <x:v>23706.2</x:v>
      </x:c>
      <x:c r="H67" s="7" t="n">
        <x:f>IF(C67="CE",G67-F67,F67-G67)</x:f>
        <x:v>-3.0499999999992724</x:v>
      </x:c>
      <x:c r="I67" s="1" t="str">
        <x:v>reference_cross</x:v>
      </x:c>
      <x:c r="J67" s="7" t="n">
        <x:v>23705.2875</x:v>
      </x:c>
      <x:c r="K67" s="7" t="n">
        <x:v>23728.15</x:v>
      </x:c>
      <x:c r="L67" s="8" t="n">
        <x:v>3</x:v>
      </x:c>
      <x:c r="M67" s="7" t="n">
        <x:v>68.75</x:v>
      </x:c>
      <x:c r="N67" s="10" t="str"/>
      <x:c r="O67" s="8" t="n">
        <x:v>2</x:v>
      </x:c>
    </x:row>
    <x:row r="68" ht="22" customHeight="1">
      <x:c r="A68" s="1" t="str">
        <x:v>T061</x:v>
      </x:c>
      <x:c r="B68" s="5" t="d">
        <x:v>2026-09-10T00:00:00.000Z</x:v>
      </x:c>
      <x:c r="C68" s="9" t="str">
        <x:v>PE</x:v>
      </x:c>
      <x:c r="D68" s="6" t="n">
        <x:v>0.40694444444444444</x:v>
      </x:c>
      <x:c r="E68" s="6" t="n">
        <x:v>0.40902777777777777</x:v>
      </x:c>
      <x:c r="F68" s="7" t="n">
        <x:v>23428.35</x:v>
      </x:c>
      <x:c r="G68" s="7" t="n">
        <x:v>23436.9</x:v>
      </x:c>
      <x:c r="H68" s="7" t="n">
        <x:f>IF(C68="CE",G68-F68,F68-G68)</x:f>
        <x:v>-8.55000000000291</x:v>
      </x:c>
      <x:c r="I68" s="1" t="str">
        <x:v>reference_cross</x:v>
      </x:c>
      <x:c r="J68" s="7" t="n">
        <x:v>23433.4</x:v>
      </x:c>
      <x:c r="K68" s="7" t="n">
        <x:v>23453.35</x:v>
      </x:c>
      <x:c r="L68" s="8" t="n">
        <x:v>3</x:v>
      </x:c>
      <x:c r="M68" s="7" t="n">
        <x:v>24</x:v>
      </x:c>
      <x:c r="N68" s="10" t="str"/>
      <x:c r="O68" s="8" t="n">
        <x:v>1</x:v>
      </x:c>
    </x:row>
    <x:row r="69" ht="22" customHeight="1">
      <x:c r="A69" s="1" t="str">
        <x:v>T062</x:v>
      </x:c>
      <x:c r="B69" s="5" t="d">
        <x:v>2026-09-10T00:00:00.000Z</x:v>
      </x:c>
      <x:c r="C69" s="9" t="str">
        <x:v>CE</x:v>
      </x:c>
      <x:c r="D69" s="6" t="n">
        <x:v>0.41041666666666665</x:v>
      </x:c>
      <x:c r="E69" s="6" t="n">
        <x:v>0.4152777777777778</x:v>
      </x:c>
      <x:c r="F69" s="7" t="n">
        <x:v>23446.1</x:v>
      </x:c>
      <x:c r="G69" s="7" t="n">
        <x:v>23434.1</x:v>
      </x:c>
      <x:c r="H69" s="7" t="n">
        <x:f>IF(C69="CE",G69-F69,F69-G69)</x:f>
        <x:v>-12</x:v>
      </x:c>
      <x:c r="I69" s="1" t="str">
        <x:v>reference_cross</x:v>
      </x:c>
      <x:c r="J69" s="7" t="n">
        <x:v>23435.8</x:v>
      </x:c>
      <x:c r="K69" s="7" t="n">
        <x:v>23421.1</x:v>
      </x:c>
      <x:c r="L69" s="8" t="n">
        <x:v>7</x:v>
      </x:c>
      <x:c r="M69" s="7" t="n">
        <x:v>24</x:v>
      </x:c>
      <x:c r="N69" s="10" t="str"/>
      <x:c r="O69" s="8" t="n">
        <x:v>2</x:v>
      </x:c>
    </x:row>
    <x:row r="70" ht="22" customHeight="1">
      <x:c r="A70" s="1" t="str">
        <x:v>T063</x:v>
      </x:c>
      <x:c r="B70" s="5" t="d">
        <x:v>2026-09-11T00:00:00.000Z</x:v>
      </x:c>
      <x:c r="C70" s="9" t="str">
        <x:v>PE</x:v>
      </x:c>
      <x:c r="D70" s="6" t="n">
        <x:v>0.40694444444444444</x:v>
      </x:c>
      <x:c r="E70" s="6" t="n">
        <x:v>0.4152777777777778</x:v>
      </x:c>
      <x:c r="F70" s="7" t="n">
        <x:v>23253.1</x:v>
      </x:c>
      <x:c r="G70" s="7" t="n">
        <x:v>23260.95</x:v>
      </x:c>
      <x:c r="H70" s="7" t="n">
        <x:f>IF(C70="CE",G70-F70,F70-G70)</x:f>
        <x:v>-7.850000000002183</x:v>
      </x:c>
      <x:c r="I70" s="1" t="str">
        <x:v>reference_cross</x:v>
      </x:c>
      <x:c r="J70" s="7" t="n">
        <x:v>23258.145</x:v>
      </x:c>
      <x:c r="K70" s="7" t="n">
        <x:v>23278.1</x:v>
      </x:c>
      <x:c r="L70" s="8" t="n">
        <x:v>12</x:v>
      </x:c>
      <x:c r="M70" s="7" t="n">
        <x:v>22.1</x:v>
      </x:c>
      <x:c r="N70" s="10" t="str"/>
      <x:c r="O70" s="8" t="n">
        <x:v>1</x:v>
      </x:c>
    </x:row>
    <x:row r="71" ht="22" customHeight="1">
      <x:c r="A71" s="1" t="str">
        <x:v>T064</x:v>
      </x:c>
      <x:c r="B71" s="5" t="d">
        <x:v>2026-09-11T00:00:00.000Z</x:v>
      </x:c>
      <x:c r="C71" s="9" t="str">
        <x:v>CE</x:v>
      </x:c>
      <x:c r="D71" s="6" t="n">
        <x:v>0.41597222222222224</x:v>
      </x:c>
      <x:c r="E71" s="6" t="n">
        <x:v>0.4166666666666667</x:v>
      </x:c>
      <x:c r="F71" s="7" t="n">
        <x:v>23263.5</x:v>
      </x:c>
      <x:c r="G71" s="7" t="n">
        <x:v>23258.9</x:v>
      </x:c>
      <x:c r="H71" s="7" t="n">
        <x:f>IF(C71="CE",G71-F71,F71-G71)</x:f>
        <x:v>-4.599999999998545</x:v>
      </x:c>
      <x:c r="I71" s="1" t="str">
        <x:v>reference_cross</x:v>
      </x:c>
      <x:c r="J71" s="7" t="n">
        <x:v>23260.355</x:v>
      </x:c>
      <x:c r="K71" s="7" t="n">
        <x:v>23238.5</x:v>
      </x:c>
      <x:c r="L71" s="8" t="n">
        <x:v>1</x:v>
      </x:c>
      <x:c r="M71" s="7" t="n">
        <x:v>22.1</x:v>
      </x:c>
      <x:c r="N71" s="10" t="str"/>
      <x:c r="O71" s="8" t="n">
        <x:v>2</x:v>
      </x:c>
    </x:row>
    <x:row r="72" ht="22" customHeight="1">
      <x:c r="A72" s="1" t="str">
        <x:v>T065</x:v>
      </x:c>
      <x:c r="B72" s="5" t="d">
        <x:v>2026-09-15T00:00:00.000Z</x:v>
      </x:c>
      <x:c r="C72" s="9" t="str">
        <x:v>PE</x:v>
      </x:c>
      <x:c r="D72" s="6" t="n">
        <x:v>0.40694444444444444</x:v>
      </x:c>
      <x:c r="E72" s="6" t="n">
        <x:v>0.6354166666666666</x:v>
      </x:c>
      <x:c r="F72" s="7" t="n">
        <x:v>23438.5</x:v>
      </x:c>
      <x:c r="G72" s="7" t="n">
        <x:v>23173.35</x:v>
      </x:c>
      <x:c r="H72" s="7" t="n">
        <x:f>IF(C72="CE",G72-F72,F72-G72)</x:f>
        <x:v>265.15000000000146</x:v>
      </x:c>
      <x:c r="I72" s="1" t="str">
        <x:v>session_end</x:v>
      </x:c>
      <x:c r="J72" s="7" t="n">
        <x:v>23505.7225</x:v>
      </x:c>
      <x:c r="K72" s="7" t="n">
        <x:v>23463.5</x:v>
      </x:c>
      <x:c r="L72" s="8" t="n">
        <x:v>329</x:v>
      </x:c>
      <x:c r="M72" s="7" t="n">
        <x:v>128.05</x:v>
      </x:c>
      <x:c r="N72" s="10" t="str"/>
      <x:c r="O72" s="8" t="n">
        <x:v>1</x:v>
      </x:c>
    </x:row>
    <x:row r="73" ht="22" customHeight="1">
      <x:c r="A73" s="1" t="str">
        <x:v>T066</x:v>
      </x:c>
      <x:c r="B73" s="5" t="d">
        <x:v>2026-09-16T00:00:00.000Z</x:v>
      </x:c>
      <x:c r="C73" s="9" t="str">
        <x:v>PE</x:v>
      </x:c>
      <x:c r="D73" s="6" t="n">
        <x:v>0.40694444444444444</x:v>
      </x:c>
      <x:c r="E73" s="6" t="n">
        <x:v>0.41041666666666665</x:v>
      </x:c>
      <x:c r="F73" s="7" t="n">
        <x:v>23128.1</x:v>
      </x:c>
      <x:c r="G73" s="7" t="n">
        <x:v>23163.7</x:v>
      </x:c>
      <x:c r="H73" s="7" t="n">
        <x:f>IF(C73="CE",G73-F73,F73-G73)</x:f>
        <x:v>-35.60000000000218</x:v>
      </x:c>
      <x:c r="I73" s="1" t="str">
        <x:v>fixed_stop</x:v>
      </x:c>
      <x:c r="J73" s="7" t="n">
        <x:v>23157.2425</x:v>
      </x:c>
      <x:c r="K73" s="7" t="n">
        <x:v>23153.1</x:v>
      </x:c>
      <x:c r="L73" s="8" t="n">
        <x:v>5</x:v>
      </x:c>
      <x:c r="M73" s="7" t="n">
        <x:v>80.65</x:v>
      </x:c>
      <x:c r="N73" s="10" t="str"/>
      <x:c r="O73" s="8" t="n">
        <x:v>1</x:v>
      </x:c>
    </x:row>
    <x:row r="74" ht="22" customHeight="1">
      <x:c r="A74" s="1" t="str">
        <x:v>T067</x:v>
      </x:c>
      <x:c r="B74" s="5" t="d">
        <x:v>2026-09-16T00:00:00.000Z</x:v>
      </x:c>
      <x:c r="C74" s="9" t="str">
        <x:v>CE</x:v>
      </x:c>
      <x:c r="D74" s="6" t="n">
        <x:v>0.4111111111111111</x:v>
      </x:c>
      <x:c r="E74" s="6" t="n">
        <x:v>0.6354166666666666</x:v>
      </x:c>
      <x:c r="F74" s="7" t="n">
        <x:v>23167.2</x:v>
      </x:c>
      <x:c r="G74" s="7" t="n">
        <x:v>23223.15</x:v>
      </x:c>
      <x:c r="H74" s="7" t="n">
        <x:f>IF(C74="CE",G74-F74,F74-G74)</x:f>
        <x:v>55.95000000000073</x:v>
      </x:c>
      <x:c r="I74" s="1" t="str">
        <x:v>session_end</x:v>
      </x:c>
      <x:c r="J74" s="7" t="n">
        <x:v>23165.3075</x:v>
      </x:c>
      <x:c r="K74" s="7" t="n">
        <x:v>23142.2</x:v>
      </x:c>
      <x:c r="L74" s="8" t="n">
        <x:v>323</x:v>
      </x:c>
      <x:c r="M74" s="7" t="n">
        <x:v>80.65</x:v>
      </x:c>
      <x:c r="N74" s="10" t="str"/>
      <x:c r="O74" s="8" t="n">
        <x:v>2</x:v>
      </x:c>
    </x:row>
    <x:row r="75" ht="22" customHeight="1">
      <x:c r="A75" s="1" t="str">
        <x:v>T068</x:v>
      </x:c>
      <x:c r="B75" s="5" t="d">
        <x:v>2026-09-17T00:00:00.000Z</x:v>
      </x:c>
      <x:c r="C75" s="9" t="str">
        <x:v>CE</x:v>
      </x:c>
      <x:c r="D75" s="6" t="n">
        <x:v>0.40694444444444444</x:v>
      </x:c>
      <x:c r="E75" s="6" t="n">
        <x:v>0.46111111111111114</x:v>
      </x:c>
      <x:c r="F75" s="7" t="n">
        <x:v>23251</x:v>
      </x:c>
      <x:c r="G75" s="7" t="n">
        <x:v>23238.5</x:v>
      </x:c>
      <x:c r="H75" s="7" t="n">
        <x:f>IF(C75="CE",G75-F75,F75-G75)</x:f>
        <x:v>-12.5</x:v>
      </x:c>
      <x:c r="I75" s="1" t="str">
        <x:v>reference_cross</x:v>
      </x:c>
      <x:c r="J75" s="7" t="n">
        <x:v>23226.6275</x:v>
      </x:c>
      <x:c r="K75" s="7" t="n">
        <x:v>23226</x:v>
      </x:c>
      <x:c r="L75" s="8" t="n">
        <x:v>78</x:v>
      </x:c>
      <x:c r="M75" s="7" t="n">
        <x:v>57.05</x:v>
      </x:c>
      <x:c r="N75" s="10" t="str"/>
      <x:c r="O75" s="8" t="n">
        <x:v>1</x:v>
      </x:c>
    </x:row>
    <x:row r="76" ht="22" customHeight="1">
      <x:c r="A76" s="1" t="str">
        <x:v>T069</x:v>
      </x:c>
      <x:c r="B76" s="5" t="d">
        <x:v>2026-09-17T00:00:00.000Z</x:v>
      </x:c>
      <x:c r="C76" s="9" t="str">
        <x:v>PE</x:v>
      </x:c>
      <x:c r="D76" s="6" t="n">
        <x:v>0.4638888888888889</x:v>
      </x:c>
      <x:c r="E76" s="6" t="n">
        <x:v>0.4673611111111111</x:v>
      </x:c>
      <x:c r="F76" s="7" t="n">
        <x:v>23220.35</x:v>
      </x:c>
      <x:c r="G76" s="7" t="n">
        <x:v>23224.2</x:v>
      </x:c>
      <x:c r="H76" s="7" t="n">
        <x:f>IF(C76="CE",G76-F76,F76-G76)</x:f>
        <x:v>-3.850000000002183</x:v>
      </x:c>
      <x:c r="I76" s="1" t="str">
        <x:v>reference_cross</x:v>
      </x:c>
      <x:c r="J76" s="7" t="n">
        <x:v>23220.9225</x:v>
      </x:c>
      <x:c r="K76" s="7" t="n">
        <x:v>23245.35</x:v>
      </x:c>
      <x:c r="L76" s="8" t="n">
        <x:v>5</x:v>
      </x:c>
      <x:c r="M76" s="7" t="n">
        <x:v>57.05</x:v>
      </x:c>
      <x:c r="N76" s="10" t="str"/>
      <x:c r="O76" s="8" t="n">
        <x:v>2</x:v>
      </x:c>
    </x:row>
    <x:row r="77" ht="22" customHeight="1">
      <x:c r="A77" s="1" t="str">
        <x:v>T070</x:v>
      </x:c>
      <x:c r="B77" s="5" t="d">
        <x:v>2026-09-18T00:00:00.000Z</x:v>
      </x:c>
      <x:c r="C77" s="9" t="str">
        <x:v>PE</x:v>
      </x:c>
      <x:c r="D77" s="6" t="n">
        <x:v>0.40694444444444444</x:v>
      </x:c>
      <x:c r="E77" s="6" t="n">
        <x:v>0.4131944444444444</x:v>
      </x:c>
      <x:c r="F77" s="7" t="n">
        <x:v>23306.8</x:v>
      </x:c>
      <x:c r="G77" s="7" t="n">
        <x:v>23326.6</x:v>
      </x:c>
      <x:c r="H77" s="7" t="n">
        <x:f>IF(C77="CE",G77-F77,F77-G77)</x:f>
        <x:v>-19.799999999999272</x:v>
      </x:c>
      <x:c r="I77" s="1" t="str">
        <x:v>reference_cross</x:v>
      </x:c>
      <x:c r="J77" s="7" t="n">
        <x:v>23322.6825</x:v>
      </x:c>
      <x:c r="K77" s="7" t="n">
        <x:v>23331.8</x:v>
      </x:c>
      <x:c r="L77" s="8" t="n">
        <x:v>9</x:v>
      </x:c>
      <x:c r="M77" s="7" t="n">
        <x:v>21.85</x:v>
      </x:c>
      <x:c r="N77" s="10" t="str"/>
      <x:c r="O77" s="8" t="n">
        <x:v>1</x:v>
      </x:c>
    </x:row>
    <x:row r="78" ht="22" customHeight="1">
      <x:c r="A78" s="1" t="str">
        <x:v>T071</x:v>
      </x:c>
      <x:c r="B78" s="5" t="d">
        <x:v>2026-09-18T00:00:00.000Z</x:v>
      </x:c>
      <x:c r="C78" s="9" t="str">
        <x:v>PE</x:v>
      </x:c>
      <x:c r="D78" s="6" t="n">
        <x:v>0.41944444444444445</x:v>
      </x:c>
      <x:c r="E78" s="6" t="n">
        <x:v>0.42083333333333334</x:v>
      </x:c>
      <x:c r="F78" s="7" t="n">
        <x:v>23318.8</x:v>
      </x:c>
      <x:c r="G78" s="7" t="n">
        <x:v>23327.25</x:v>
      </x:c>
      <x:c r="H78" s="7" t="n">
        <x:f>IF(C78="CE",G78-F78,F78-G78)</x:f>
        <x:v>-8.450000000000728</x:v>
      </x:c>
      <x:c r="I78" s="1" t="str">
        <x:v>reference_cross</x:v>
      </x:c>
      <x:c r="J78" s="7" t="n">
        <x:v>23322.6825</x:v>
      </x:c>
      <x:c r="K78" s="7" t="n">
        <x:v>23343.8</x:v>
      </x:c>
      <x:c r="L78" s="8" t="n">
        <x:v>2</x:v>
      </x:c>
      <x:c r="M78" s="7" t="n">
        <x:v>21.85</x:v>
      </x:c>
      <x:c r="N78" s="10" t="str"/>
      <x:c r="O78" s="8" t="n">
        <x:v>2</x:v>
      </x:c>
    </x:row>
    <x:row r="79" ht="22" customHeight="1">
      <x:c r="A79" s="1" t="str">
        <x:v>T072</x:v>
      </x:c>
      <x:c r="B79" s="5" t="d">
        <x:v>2026-09-21T00:00:00.000Z</x:v>
      </x:c>
      <x:c r="C79" s="9" t="str">
        <x:v>CE</x:v>
      </x:c>
      <x:c r="D79" s="6" t="n">
        <x:v>0.40694444444444444</x:v>
      </x:c>
      <x:c r="E79" s="6" t="n">
        <x:v>0.42777777777777776</x:v>
      </x:c>
      <x:c r="F79" s="7" t="n">
        <x:v>23397.85</x:v>
      </x:c>
      <x:c r="G79" s="7" t="n">
        <x:v>23371.55</x:v>
      </x:c>
      <x:c r="H79" s="7" t="n">
        <x:f>IF(C79="CE",G79-F79,F79-G79)</x:f>
        <x:v>-26.299999999999272</x:v>
      </x:c>
      <x:c r="I79" s="1" t="str">
        <x:v>fixed_stop</x:v>
      </x:c>
      <x:c r="J79" s="7" t="n">
        <x:v>23364.85</x:v>
      </x:c>
      <x:c r="K79" s="7" t="n">
        <x:v>23372.85</x:v>
      </x:c>
      <x:c r="L79" s="8" t="n">
        <x:v>30</x:v>
      </x:c>
      <x:c r="M79" s="7" t="n">
        <x:v>63</x:v>
      </x:c>
      <x:c r="N79" s="10" t="str"/>
      <x:c r="O79" s="8" t="n">
        <x:v>1</x:v>
      </x:c>
    </x:row>
    <x:row r="80" ht="22" customHeight="1">
      <x:c r="A80" s="1" t="str">
        <x:v>T073</x:v>
      </x:c>
      <x:c r="B80" s="5" t="d">
        <x:v>2026-09-21T00:00:00.000Z</x:v>
      </x:c>
      <x:c r="C80" s="9" t="str">
        <x:v>CE</x:v>
      </x:c>
      <x:c r="D80" s="6" t="n">
        <x:v>0.43680555555555556</x:v>
      </x:c>
      <x:c r="E80" s="6" t="n">
        <x:v>0.44027777777777777</x:v>
      </x:c>
      <x:c r="F80" s="7" t="n">
        <x:v>23368.5</x:v>
      </x:c>
      <x:c r="G80" s="7" t="n">
        <x:v>23361.3</x:v>
      </x:c>
      <x:c r="H80" s="7" t="n">
        <x:f>IF(C80="CE",G80-F80,F80-G80)</x:f>
        <x:v>-7.200000000000728</x:v>
      </x:c>
      <x:c r="I80" s="1" t="str">
        <x:v>reference_cross</x:v>
      </x:c>
      <x:c r="J80" s="7" t="n">
        <x:v>23364.85</x:v>
      </x:c>
      <x:c r="K80" s="7" t="n">
        <x:v>23343.5</x:v>
      </x:c>
      <x:c r="L80" s="8" t="n">
        <x:v>5</x:v>
      </x:c>
      <x:c r="M80" s="7" t="n">
        <x:v>63</x:v>
      </x:c>
      <x:c r="N80" s="10" t="str"/>
      <x:c r="O80" s="8" t="n">
        <x:v>2</x:v>
      </x:c>
    </x:row>
    <x:row r="81" ht="22" customHeight="1">
      <x:c r="A81" s="1" t="str">
        <x:v>T074</x:v>
      </x:c>
      <x:c r="B81" s="5" t="d">
        <x:v>2026-09-23T00:00:00.000Z</x:v>
      </x:c>
      <x:c r="C81" s="9" t="str">
        <x:v>CE</x:v>
      </x:c>
      <x:c r="D81" s="6" t="n">
        <x:v>0.40694444444444444</x:v>
      </x:c>
      <x:c r="E81" s="6" t="n">
        <x:v>0.4097222222222222</x:v>
      </x:c>
      <x:c r="F81" s="7" t="n">
        <x:v>23383.45</x:v>
      </x:c>
      <x:c r="G81" s="7" t="n">
        <x:v>23365.15</x:v>
      </x:c>
      <x:c r="H81" s="7" t="n">
        <x:f>IF(C81="CE",G81-F81,F81-G81)</x:f>
        <x:v>-18.299999999999272</x:v>
      </x:c>
      <x:c r="I81" s="1" t="str">
        <x:v>reference_cross</x:v>
      </x:c>
      <x:c r="J81" s="7" t="n">
        <x:v>23366.3675</x:v>
      </x:c>
      <x:c r="K81" s="7" t="n">
        <x:v>23358.45</x:v>
      </x:c>
      <x:c r="L81" s="8" t="n">
        <x:v>4</x:v>
      </x:c>
      <x:c r="M81" s="7" t="n">
        <x:v>25.85</x:v>
      </x:c>
      <x:c r="N81" s="10" t="str"/>
      <x:c r="O81" s="8" t="n">
        <x:v>1</x:v>
      </x:c>
    </x:row>
    <x:row r="82" ht="22" customHeight="1">
      <x:c r="A82" s="1" t="str">
        <x:v>T075</x:v>
      </x:c>
      <x:c r="B82" s="5" t="d">
        <x:v>2026-09-23T00:00:00.000Z</x:v>
      </x:c>
      <x:c r="C82" s="9" t="str">
        <x:v>PE</x:v>
      </x:c>
      <x:c r="D82" s="6" t="n">
        <x:v>0.4111111111111111</x:v>
      </x:c>
      <x:c r="E82" s="6" t="n">
        <x:v>0.41458333333333336</x:v>
      </x:c>
      <x:c r="F82" s="7" t="n">
        <x:v>23362.35</x:v>
      </x:c>
      <x:c r="G82" s="7" t="n">
        <x:v>23368.35</x:v>
      </x:c>
      <x:c r="H82" s="7" t="n">
        <x:f>IF(C82="CE",G82-F82,F82-G82)</x:f>
        <x:v>-6</x:v>
      </x:c>
      <x:c r="I82" s="1" t="str">
        <x:v>reference_cross</x:v>
      </x:c>
      <x:c r="J82" s="7" t="n">
        <x:v>23363.7825</x:v>
      </x:c>
      <x:c r="K82" s="7" t="n">
        <x:v>23387.35</x:v>
      </x:c>
      <x:c r="L82" s="8" t="n">
        <x:v>5</x:v>
      </x:c>
      <x:c r="M82" s="7" t="n">
        <x:v>25.85</x:v>
      </x:c>
      <x:c r="N82" s="10" t="str"/>
      <x:c r="O82" s="8" t="n">
        <x:v>2</x:v>
      </x:c>
    </x:row>
    <x:row r="83" ht="22" customHeight="1">
      <x:c r="A83" s="1" t="str">
        <x:v>T076</x:v>
      </x:c>
      <x:c r="B83" s="5" t="d">
        <x:v>2026-09-28T00:00:00.000Z</x:v>
      </x:c>
      <x:c r="C83" s="9" t="str">
        <x:v>PE</x:v>
      </x:c>
      <x:c r="D83" s="6" t="n">
        <x:v>0.40694444444444444</x:v>
      </x:c>
      <x:c r="E83" s="6" t="n">
        <x:v>0.6354166666666666</x:v>
      </x:c>
      <x:c r="F83" s="7" t="n">
        <x:v>22865.9</x:v>
      </x:c>
      <x:c r="G83" s="7" t="n">
        <x:v>22789.25</x:v>
      </x:c>
      <x:c r="H83" s="7" t="n">
        <x:f>IF(C83="CE",G83-F83,F83-G83)</x:f>
        <x:v>76.65000000000146</x:v>
      </x:c>
      <x:c r="I83" s="1" t="str">
        <x:v>session_end</x:v>
      </x:c>
      <x:c r="J83" s="7" t="n">
        <x:v>22950.775</x:v>
      </x:c>
      <x:c r="K83" s="7" t="n">
        <x:v>22890.9</x:v>
      </x:c>
      <x:c r="L83" s="8" t="n">
        <x:v>329</x:v>
      </x:c>
      <x:c r="M83" s="7" t="n">
        <x:v>207.5</x:v>
      </x:c>
      <x:c r="N83" s="10" t="str"/>
      <x:c r="O83" s="8" t="n">
        <x:v>1</x:v>
      </x:c>
    </x:row>
    <x:row r="84" ht="22" customHeight="1">
      <x:c r="A84" s="1" t="str">
        <x:v>T077</x:v>
      </x:c>
      <x:c r="B84" s="5" t="d">
        <x:v>2026-09-29T00:00:00.000Z</x:v>
      </x:c>
      <x:c r="C84" s="9" t="str">
        <x:v>PE</x:v>
      </x:c>
      <x:c r="D84" s="6" t="n">
        <x:v>0.40694444444444444</x:v>
      </x:c>
      <x:c r="E84" s="6" t="n">
        <x:v>0.46597222222222223</x:v>
      </x:c>
      <x:c r="F84" s="7" t="n">
        <x:v>22609.15</x:v>
      </x:c>
      <x:c r="G84" s="7" t="n">
        <x:v>22649.05</x:v>
      </x:c>
      <x:c r="H84" s="7" t="n">
        <x:f>IF(C84="CE",G84-F84,F84-G84)</x:f>
        <x:v>-39.89999999999782</x:v>
      </x:c>
      <x:c r="I84" s="1" t="str">
        <x:v>fixed_stop</x:v>
      </x:c>
      <x:c r="J84" s="7" t="n">
        <x:v>22666.9725</x:v>
      </x:c>
      <x:c r="K84" s="7" t="n">
        <x:v>22634.15</x:v>
      </x:c>
      <x:c r="L84" s="8" t="n">
        <x:v>85</x:v>
      </x:c>
      <x:c r="M84" s="7" t="n">
        <x:v>119.05</x:v>
      </x:c>
      <x:c r="N84" s="10" t="str"/>
      <x:c r="O84" s="8" t="n">
        <x:v>1</x:v>
      </x:c>
    </x:row>
    <x:row r="85" ht="22" customHeight="1">
      <x:c r="A85" s="1" t="str">
        <x:v>T078</x:v>
      </x:c>
      <x:c r="B85" s="5" t="d">
        <x:v>2026-09-29T00:00:00.000Z</x:v>
      </x:c>
      <x:c r="C85" s="9" t="str">
        <x:v>CE</x:v>
      </x:c>
      <x:c r="D85" s="6" t="n">
        <x:v>0.46805555555555556</x:v>
      </x:c>
      <x:c r="E85" s="6" t="n">
        <x:v>0.4701388888888889</x:v>
      </x:c>
      <x:c r="F85" s="7" t="n">
        <x:v>22688.7</x:v>
      </x:c>
      <x:c r="G85" s="7" t="n">
        <x:v>22671.85</x:v>
      </x:c>
      <x:c r="H85" s="7" t="n">
        <x:f>IF(C85="CE",G85-F85,F85-G85)</x:f>
        <x:v>-16.850000000002183</x:v>
      </x:c>
      <x:c r="I85" s="1" t="str">
        <x:v>reference_cross</x:v>
      </x:c>
      <x:c r="J85" s="7" t="n">
        <x:v>22678.8775</x:v>
      </x:c>
      <x:c r="K85" s="7" t="n">
        <x:v>22663.7</x:v>
      </x:c>
      <x:c r="L85" s="8" t="n">
        <x:v>3</x:v>
      </x:c>
      <x:c r="M85" s="7" t="n">
        <x:v>119.05</x:v>
      </x:c>
      <x:c r="N85" s="10" t="str"/>
      <x:c r="O85" s="8" t="n">
        <x:v>2</x:v>
      </x:c>
    </x:row>
    <x:row r="86" ht="22" customHeight="1">
      <x:c r="A86" s="1" t="str">
        <x:v>T079</x:v>
      </x:c>
      <x:c r="B86" s="5" t="d">
        <x:v>2026-09-30T00:00:00.000Z</x:v>
      </x:c>
      <x:c r="C86" s="9" t="str">
        <x:v>CE</x:v>
      </x:c>
      <x:c r="D86" s="6" t="n">
        <x:v>0.40694444444444444</x:v>
      </x:c>
      <x:c r="E86" s="6" t="n">
        <x:v>0.4097222222222222</x:v>
      </x:c>
      <x:c r="F86" s="7" t="n">
        <x:v>22728.35</x:v>
      </x:c>
      <x:c r="G86" s="7" t="n">
        <x:v>22701.3</x:v>
      </x:c>
      <x:c r="H86" s="7" t="n">
        <x:f>IF(C86="CE",G86-F86,F86-G86)</x:f>
        <x:v>-27.049999999999272</x:v>
      </x:c>
      <x:c r="I86" s="1" t="str">
        <x:v>fixed_stop</x:v>
      </x:c>
      <x:c r="J86" s="7" t="n">
        <x:v>22692.5825</x:v>
      </x:c>
      <x:c r="K86" s="7" t="n">
        <x:v>22703.35</x:v>
      </x:c>
      <x:c r="L86" s="8" t="n">
        <x:v>4</x:v>
      </x:c>
      <x:c r="M86" s="7" t="n">
        <x:v>50.15</x:v>
      </x:c>
      <x:c r="N86" s="10" t="str"/>
      <x:c r="O86" s="8" t="n">
        <x:v>1</x:v>
      </x:c>
    </x:row>
    <x:row r="87" ht="22" customHeight="1">
      <x:c r="A87" s="1" t="str">
        <x:v>T080</x:v>
      </x:c>
      <x:c r="B87" s="5" t="d">
        <x:v>2026-09-30T00:00:00.000Z</x:v>
      </x:c>
      <x:c r="C87" s="9" t="str">
        <x:v>CE</x:v>
      </x:c>
      <x:c r="D87" s="6" t="n">
        <x:v>0.45902777777777776</x:v>
      </x:c>
      <x:c r="E87" s="6" t="n">
        <x:v>0.46875</x:v>
      </x:c>
      <x:c r="F87" s="7" t="n">
        <x:v>22702.5</x:v>
      </x:c>
      <x:c r="G87" s="7" t="n">
        <x:v>22688.6</x:v>
      </x:c>
      <x:c r="H87" s="7" t="n">
        <x:f>IF(C87="CE",G87-F87,F87-G87)</x:f>
        <x:v>-13.900000000001455</x:v>
      </x:c>
      <x:c r="I87" s="1" t="str">
        <x:v>reference_cross</x:v>
      </x:c>
      <x:c r="J87" s="7" t="n">
        <x:v>22692.5825</x:v>
      </x:c>
      <x:c r="K87" s="7" t="n">
        <x:v>22677.5</x:v>
      </x:c>
      <x:c r="L87" s="8" t="n">
        <x:v>14</x:v>
      </x:c>
      <x:c r="M87" s="7" t="n">
        <x:v>50.15</x:v>
      </x:c>
      <x:c r="N87" s="10" t="str"/>
      <x:c r="O87" s="8" t="n">
        <x:v>2</x:v>
      </x:c>
    </x:row>
    <x:row r="88" ht="22" customHeight="1">
      <x:c r="A88" s="1" t="str">
        <x:v>T081</x:v>
      </x:c>
      <x:c r="B88" s="5" t="d">
        <x:v>2026-10-05T00:00:00.000Z</x:v>
      </x:c>
      <x:c r="C88" s="9" t="str">
        <x:v>CE</x:v>
      </x:c>
      <x:c r="D88" s="6" t="n">
        <x:v>0.40694444444444444</x:v>
      </x:c>
      <x:c r="E88" s="6" t="n">
        <x:v>0.4166666666666667</x:v>
      </x:c>
      <x:c r="F88" s="7" t="n">
        <x:v>22593.05</x:v>
      </x:c>
      <x:c r="G88" s="7" t="n">
        <x:v>22567.25</x:v>
      </x:c>
      <x:c r="H88" s="7" t="n">
        <x:f>IF(C88="CE",G88-F88,F88-G88)</x:f>
        <x:v>-25.799999999999272</x:v>
      </x:c>
      <x:c r="I88" s="1" t="str">
        <x:v>fixed_stop</x:v>
      </x:c>
      <x:c r="J88" s="7" t="n">
        <x:v>22559.955</x:v>
      </x:c>
      <x:c r="K88" s="7" t="n">
        <x:v>22568.05</x:v>
      </x:c>
      <x:c r="L88" s="8" t="n">
        <x:v>14</x:v>
      </x:c>
      <x:c r="M88" s="7" t="n">
        <x:v>50.1</x:v>
      </x:c>
      <x:c r="N88" s="10" t="str"/>
      <x:c r="O88" s="8" t="n">
        <x:v>1</x:v>
      </x:c>
    </x:row>
    <x:row r="89" ht="22" customHeight="1">
      <x:c r="A89" s="1" t="str">
        <x:v>T082</x:v>
      </x:c>
      <x:c r="B89" s="5" t="d">
        <x:v>2026-10-05T00:00:00.000Z</x:v>
      </x:c>
      <x:c r="C89" s="9" t="str">
        <x:v>PE</x:v>
      </x:c>
      <x:c r="D89" s="6" t="n">
        <x:v>0.4201388888888889</x:v>
      </x:c>
      <x:c r="E89" s="6" t="n">
        <x:v>0.4236111111111111</x:v>
      </x:c>
      <x:c r="F89" s="7" t="n">
        <x:v>22550.25</x:v>
      </x:c>
      <x:c r="G89" s="7" t="n">
        <x:v>22564.3</x:v>
      </x:c>
      <x:c r="H89" s="7" t="n">
        <x:f>IF(C89="CE",G89-F89,F89-G89)</x:f>
        <x:v>-14.049999999999272</x:v>
      </x:c>
      <x:c r="I89" s="1" t="str">
        <x:v>reference_cross</x:v>
      </x:c>
      <x:c r="J89" s="7" t="n">
        <x:v>22554.945</x:v>
      </x:c>
      <x:c r="K89" s="7" t="n">
        <x:v>22575.25</x:v>
      </x:c>
      <x:c r="L89" s="8" t="n">
        <x:v>5</x:v>
      </x:c>
      <x:c r="M89" s="7" t="n">
        <x:v>50.1</x:v>
      </x:c>
      <x:c r="N89" s="10" t="str"/>
      <x:c r="O89" s="8" t="n">
        <x:v>2</x:v>
      </x:c>
    </x:row>
    <x:row r="90" ht="22" customHeight="1">
      <x:c r="A90" s="1" t="str">
        <x:v>T083</x:v>
      </x:c>
      <x:c r="B90" s="5" t="d">
        <x:v>2026-10-07T00:00:00.000Z</x:v>
      </x:c>
      <x:c r="C90" s="9" t="str">
        <x:v>PE</x:v>
      </x:c>
      <x:c r="D90" s="6" t="n">
        <x:v>0.40694444444444444</x:v>
      </x:c>
      <x:c r="E90" s="6" t="n">
        <x:v>0.42916666666666664</x:v>
      </x:c>
      <x:c r="F90" s="7" t="n">
        <x:v>22620.85</x:v>
      </x:c>
      <x:c r="G90" s="7" t="n">
        <x:v>22652.5</x:v>
      </x:c>
      <x:c r="H90" s="7" t="n">
        <x:f>IF(C90="CE",G90-F90,F90-G90)</x:f>
        <x:v>-31.650000000001455</x:v>
      </x:c>
      <x:c r="I90" s="1" t="str">
        <x:v>fixed_stop</x:v>
      </x:c>
      <x:c r="J90" s="7" t="n">
        <x:v>22650.1075</x:v>
      </x:c>
      <x:c r="K90" s="7" t="n">
        <x:v>22645.85</x:v>
      </x:c>
      <x:c r="L90" s="8" t="n">
        <x:v>32</x:v>
      </x:c>
      <x:c r="M90" s="7" t="n">
        <x:v>73.35</x:v>
      </x:c>
      <x:c r="N90" s="10" t="str"/>
      <x:c r="O90" s="8" t="n">
        <x:v>1</x:v>
      </x:c>
    </x:row>
    <x:row r="91" ht="22" customHeight="1">
      <x:c r="A91" s="1" t="str">
        <x:v>T084</x:v>
      </x:c>
      <x:c r="B91" s="5" t="d">
        <x:v>2026-10-07T00:00:00.000Z</x:v>
      </x:c>
      <x:c r="C91" s="9" t="str">
        <x:v>CE</x:v>
      </x:c>
      <x:c r="D91" s="6" t="n">
        <x:v>0.42986111111111114</x:v>
      </x:c>
      <x:c r="E91" s="6" t="n">
        <x:v>0.4305555555555556</x:v>
      </x:c>
      <x:c r="F91" s="7" t="n">
        <x:v>22679.4</x:v>
      </x:c>
      <x:c r="G91" s="7" t="n">
        <x:v>22659</x:v>
      </x:c>
      <x:c r="H91" s="7" t="n">
        <x:f>IF(C91="CE",G91-F91,F91-G91)</x:f>
        <x:v>-20.400000000001455</x:v>
      </x:c>
      <x:c r="I91" s="1" t="str">
        <x:v>reference_cross</x:v>
      </x:c>
      <x:c r="J91" s="7" t="n">
        <x:v>22657.4425</x:v>
      </x:c>
      <x:c r="K91" s="7" t="n">
        <x:v>22654.4</x:v>
      </x:c>
      <x:c r="L91" s="8" t="n">
        <x:v>1</x:v>
      </x:c>
      <x:c r="M91" s="7" t="n">
        <x:v>73.35</x:v>
      </x:c>
      <x:c r="N91" s="10" t="str"/>
      <x:c r="O91" s="8" t="n">
        <x:v>2</x:v>
      </x:c>
    </x:row>
    <x:row r="92" ht="22" customHeight="1">
      <x:c r="A92" s="1" t="str">
        <x:v>T085</x:v>
      </x:c>
      <x:c r="B92" s="5" t="d">
        <x:v>2026-10-08T00:00:00.000Z</x:v>
      </x:c>
      <x:c r="C92" s="9" t="str">
        <x:v>PE</x:v>
      </x:c>
      <x:c r="D92" s="6" t="n">
        <x:v>0.40694444444444444</x:v>
      </x:c>
      <x:c r="E92" s="6" t="n">
        <x:v>0.4111111111111111</x:v>
      </x:c>
      <x:c r="F92" s="7" t="n">
        <x:v>22452.05</x:v>
      </x:c>
      <x:c r="G92" s="7" t="n">
        <x:v>22479.5</x:v>
      </x:c>
      <x:c r="H92" s="7" t="n">
        <x:f>IF(C92="CE",G92-F92,F92-G92)</x:f>
        <x:v>-27.450000000000728</x:v>
      </x:c>
      <x:c r="I92" s="1" t="str">
        <x:v>fixed_stop</x:v>
      </x:c>
      <x:c r="J92" s="7" t="n">
        <x:v>22529.42</x:v>
      </x:c>
      <x:c r="K92" s="7" t="n">
        <x:v>22477.05</x:v>
      </x:c>
      <x:c r="L92" s="8" t="n">
        <x:v>6</x:v>
      </x:c>
      <x:c r="M92" s="7" t="n">
        <x:v>126.6</x:v>
      </x:c>
      <x:c r="N92" s="10" t="str"/>
      <x:c r="O92" s="8" t="n">
        <x:v>1</x:v>
      </x:c>
    </x:row>
    <x:row r="93" ht="22" customHeight="1">
      <x:c r="A93" s="1" t="str">
        <x:v>T086</x:v>
      </x:c>
      <x:c r="B93" s="5" t="d">
        <x:v>2026-10-09T00:00:00.000Z</x:v>
      </x:c>
      <x:c r="C93" s="9" t="str">
        <x:v>CE</x:v>
      </x:c>
      <x:c r="D93" s="6" t="n">
        <x:v>0.40694444444444444</x:v>
      </x:c>
      <x:c r="E93" s="6" t="n">
        <x:v>0.6354166666666666</x:v>
      </x:c>
      <x:c r="F93" s="7" t="n">
        <x:v>22433.65</x:v>
      </x:c>
      <x:c r="G93" s="7" t="n">
        <x:v>22534.65</x:v>
      </x:c>
      <x:c r="H93" s="7" t="n">
        <x:f>IF(C93="CE",G93-F93,F93-G93)</x:f>
        <x:v>101</x:v>
      </x:c>
      <x:c r="I93" s="1" t="str">
        <x:v>session_end</x:v>
      </x:c>
      <x:c r="J93" s="7" t="n">
        <x:v>22377.54</x:v>
      </x:c>
      <x:c r="K93" s="7" t="n">
        <x:v>22408.65</x:v>
      </x:c>
      <x:c r="L93" s="8" t="n">
        <x:v>329</x:v>
      </x:c>
      <x:c r="M93" s="7" t="n">
        <x:v>113.8</x:v>
      </x:c>
      <x:c r="N93" s="10" t="str"/>
      <x:c r="O93" s="8" t="n">
        <x:v>1</x:v>
      </x:c>
    </x:row>
    <x:row r="94" ht="22" customHeight="1">
      <x:c r="A94" s="1" t="str">
        <x:v>T087</x:v>
      </x:c>
      <x:c r="B94" s="5" t="d">
        <x:v>2026-10-12T00:00:00.000Z</x:v>
      </x:c>
      <x:c r="C94" s="9" t="str">
        <x:v>PE</x:v>
      </x:c>
      <x:c r="D94" s="6" t="n">
        <x:v>0.40694444444444444</x:v>
      </x:c>
      <x:c r="E94" s="6" t="n">
        <x:v>0.6354166666666666</x:v>
      </x:c>
      <x:c r="F94" s="7" t="n">
        <x:v>22528.85</x:v>
      </x:c>
      <x:c r="G94" s="7" t="n">
        <x:v>22317.85</x:v>
      </x:c>
      <x:c r="H94" s="7" t="n">
        <x:f>IF(C94="CE",G94-F94,F94-G94)</x:f>
        <x:v>211</x:v>
      </x:c>
      <x:c r="I94" s="1" t="str">
        <x:v>session_end</x:v>
      </x:c>
      <x:c r="J94" s="7" t="n">
        <x:v>22548.6225</x:v>
      </x:c>
      <x:c r="K94" s="7" t="n">
        <x:v>22553.85</x:v>
      </x:c>
      <x:c r="L94" s="8" t="n">
        <x:v>329</x:v>
      </x:c>
      <x:c r="M94" s="7" t="n">
        <x:v>81.05</x:v>
      </x:c>
      <x:c r="N94" s="10" t="str"/>
      <x:c r="O94" s="8" t="n">
        <x:v>1</x:v>
      </x:c>
    </x:row>
    <x:row r="95" ht="22" customHeight="1">
      <x:c r="A95" s="1" t="str">
        <x:v>T088</x:v>
      </x:c>
      <x:c r="B95" s="5" t="d">
        <x:v>2026-10-13T00:00:00.000Z</x:v>
      </x:c>
      <x:c r="C95" s="9" t="str">
        <x:v>CE</x:v>
      </x:c>
      <x:c r="D95" s="6" t="n">
        <x:v>0.40694444444444444</x:v>
      </x:c>
      <x:c r="E95" s="6" t="n">
        <x:v>0.43680555555555556</x:v>
      </x:c>
      <x:c r="F95" s="7" t="n">
        <x:v>22551.25</x:v>
      </x:c>
      <x:c r="G95" s="7" t="n">
        <x:v>22525.3</x:v>
      </x:c>
      <x:c r="H95" s="7" t="n">
        <x:f>IF(C95="CE",G95-F95,F95-G95)</x:f>
        <x:v>-25.950000000000728</x:v>
      </x:c>
      <x:c r="I95" s="1" t="str">
        <x:v>fixed_stop</x:v>
      </x:c>
      <x:c r="J95" s="7" t="n">
        <x:v>22456.9625</x:v>
      </x:c>
      <x:c r="K95" s="7" t="n">
        <x:v>22526.25</x:v>
      </x:c>
      <x:c r="L95" s="8" t="n">
        <x:v>43</x:v>
      </x:c>
      <x:c r="M95" s="7" t="n">
        <x:v>168.75</x:v>
      </x:c>
      <x:c r="N95" s="10" t="str"/>
      <x:c r="O95" s="8" t="n">
        <x:v>1</x:v>
      </x:c>
    </x:row>
    <x:row r="96" ht="22" customHeight="1">
      <x:c r="A96" s="1" t="str">
        <x:v>T089</x:v>
      </x:c>
      <x:c r="B96" s="5" t="d">
        <x:v>2026-10-15T00:00:00.000Z</x:v>
      </x:c>
      <x:c r="C96" s="9" t="str">
        <x:v>CE</x:v>
      </x:c>
      <x:c r="D96" s="6" t="n">
        <x:v>0.40694444444444444</x:v>
      </x:c>
      <x:c r="E96" s="6" t="n">
        <x:v>0.6354166666666666</x:v>
      </x:c>
      <x:c r="F96" s="7" t="n">
        <x:v>22771.45</x:v>
      </x:c>
      <x:c r="G96" s="7" t="n">
        <x:v>22938.95</x:v>
      </x:c>
      <x:c r="H96" s="7" t="n">
        <x:f>IF(C96="CE",G96-F96,F96-G96)</x:f>
        <x:v>167.5</x:v>
      </x:c>
      <x:c r="I96" s="1" t="str">
        <x:v>session_end</x:v>
      </x:c>
      <x:c r="J96" s="7" t="n">
        <x:v>22712.9625</x:v>
      </x:c>
      <x:c r="K96" s="7" t="n">
        <x:v>22746.45</x:v>
      </x:c>
      <x:c r="L96" s="8" t="n">
        <x:v>329</x:v>
      </x:c>
      <x:c r="M96" s="7" t="n">
        <x:v>75.75</x:v>
      </x:c>
      <x:c r="N96" s="10" t="str"/>
      <x:c r="O96" s="8" t="n">
        <x:v>1</x:v>
      </x:c>
    </x:row>
    <x:row r="97" ht="22" customHeight="1">
      <x:c r="A97" s="1" t="str">
        <x:v>T090</x:v>
      </x:c>
      <x:c r="B97" s="5" t="d">
        <x:v>2026-10-16T00:00:00.000Z</x:v>
      </x:c>
      <x:c r="C97" s="9" t="str">
        <x:v>PE</x:v>
      </x:c>
      <x:c r="D97" s="6" t="n">
        <x:v>0.40694444444444444</x:v>
      </x:c>
      <x:c r="E97" s="6" t="n">
        <x:v>0.41388888888888886</x:v>
      </x:c>
      <x:c r="F97" s="7" t="n">
        <x:v>22961.55</x:v>
      </x:c>
      <x:c r="G97" s="7" t="n">
        <x:v>22995.75</x:v>
      </x:c>
      <x:c r="H97" s="7" t="n">
        <x:f>IF(C97="CE",G97-F97,F97-G97)</x:f>
        <x:v>-34.20000000000073</x:v>
      </x:c>
      <x:c r="I97" s="1" t="str">
        <x:v>fixed_stop</x:v>
      </x:c>
      <x:c r="J97" s="7" t="n">
        <x:v>23015.38</x:v>
      </x:c>
      <x:c r="K97" s="7" t="n">
        <x:v>22986.55</x:v>
      </x:c>
      <x:c r="L97" s="8" t="n">
        <x:v>10</x:v>
      </x:c>
      <x:c r="M97" s="7" t="n">
        <x:v>90.4</x:v>
      </x:c>
      <x:c r="N97" s="10" t="str"/>
      <x:c r="O97" s="8" t="n">
        <x:v>1</x:v>
      </x:c>
    </x:row>
    <x:row r="98" ht="22" customHeight="1">
      <x:c r="A98" s="1" t="str">
        <x:v>T091</x:v>
      </x:c>
      <x:c r="B98" s="5" t="d">
        <x:v>2026-10-16T00:00:00.000Z</x:v>
      </x:c>
      <x:c r="C98" s="9" t="str">
        <x:v>CE</x:v>
      </x:c>
      <x:c r="D98" s="6" t="n">
        <x:v>0.4166666666666667</x:v>
      </x:c>
      <x:c r="E98" s="6" t="n">
        <x:v>0.6354166666666666</x:v>
      </x:c>
      <x:c r="F98" s="7" t="n">
        <x:v>23028</x:v>
      </x:c>
      <x:c r="G98" s="7" t="n">
        <x:v>23118</x:v>
      </x:c>
      <x:c r="H98" s="7" t="n">
        <x:f>IF(C98="CE",G98-F98,F98-G98)</x:f>
        <x:v>90</x:v>
      </x:c>
      <x:c r="I98" s="1" t="str">
        <x:v>session_end</x:v>
      </x:c>
      <x:c r="J98" s="7" t="n">
        <x:v>23024.42</x:v>
      </x:c>
      <x:c r="K98" s="7" t="n">
        <x:v>23003</x:v>
      </x:c>
      <x:c r="L98" s="8" t="n">
        <x:v>315</x:v>
      </x:c>
      <x:c r="M98" s="7" t="n">
        <x:v>90.4</x:v>
      </x:c>
      <x:c r="N98" s="10" t="str"/>
      <x:c r="O98" s="8" t="n">
        <x:v>2</x:v>
      </x:c>
    </x:row>
    <x:row r="99" ht="22" customHeight="1">
      <x:c r="A99" s="1" t="str">
        <x:v>T092</x:v>
      </x:c>
      <x:c r="B99" s="5" t="d">
        <x:v>2026-10-21T00:00:00.000Z</x:v>
      </x:c>
      <x:c r="C99" s="9" t="str">
        <x:v>CE</x:v>
      </x:c>
      <x:c r="D99" s="6" t="n">
        <x:v>0.40694444444444444</x:v>
      </x:c>
      <x:c r="E99" s="6" t="n">
        <x:v>0.4097222222222222</x:v>
      </x:c>
      <x:c r="F99" s="7" t="n">
        <x:v>23089.2</x:v>
      </x:c>
      <x:c r="G99" s="7" t="n">
        <x:v>23058.1</x:v>
      </x:c>
      <x:c r="H99" s="7" t="n">
        <x:f>IF(C99="CE",G99-F99,F99-G99)</x:f>
        <x:v>-31.100000000002183</x:v>
      </x:c>
      <x:c r="I99" s="1" t="str">
        <x:v>fixed_stop</x:v>
      </x:c>
      <x:c r="J99" s="7" t="n">
        <x:v>23060.9075</x:v>
      </x:c>
      <x:c r="K99" s="7" t="n">
        <x:v>23064.2</x:v>
      </x:c>
      <x:c r="L99" s="8" t="n">
        <x:v>4</x:v>
      </x:c>
      <x:c r="M99" s="7" t="n">
        <x:v>81.65</x:v>
      </x:c>
      <x:c r="N99" s="10" t="str"/>
      <x:c r="O99" s="8" t="n">
        <x:v>1</x:v>
      </x:c>
    </x:row>
    <x:row r="100" ht="22" customHeight="1">
      <x:c r="A100" s="1" t="str">
        <x:v>T093</x:v>
      </x:c>
      <x:c r="B100" s="5" t="d">
        <x:v>2026-10-21T00:00:00.000Z</x:v>
      </x:c>
      <x:c r="C100" s="9" t="str">
        <x:v>PE</x:v>
      </x:c>
      <x:c r="D100" s="6" t="n">
        <x:v>0.41041666666666665</x:v>
      </x:c>
      <x:c r="E100" s="6" t="n">
        <x:v>0.6354166666666666</x:v>
      </x:c>
      <x:c r="F100" s="7" t="n">
        <x:v>23050.2</x:v>
      </x:c>
      <x:c r="G100" s="7" t="n">
        <x:v>22739.45</x:v>
      </x:c>
      <x:c r="H100" s="7" t="n">
        <x:f>IF(C100="CE",G100-F100,F100-G100)</x:f>
        <x:v>310.75</x:v>
      </x:c>
      <x:c r="I100" s="1" t="str">
        <x:v>session_end</x:v>
      </x:c>
      <x:c r="J100" s="7" t="n">
        <x:v>23052.7425</x:v>
      </x:c>
      <x:c r="K100" s="7" t="n">
        <x:v>23075.2</x:v>
      </x:c>
      <x:c r="L100" s="8" t="n">
        <x:v>324</x:v>
      </x:c>
      <x:c r="M100" s="7" t="n">
        <x:v>81.65</x:v>
      </x:c>
      <x:c r="N100" s="10" t="str"/>
      <x:c r="O100" s="8" t="n">
        <x:v>2</x:v>
      </x:c>
    </x:row>
  </x:sheetData>
  <x:conditionalFormatting sqref="H8:H100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bd90afd07248f6"/>
  </x:tableParts>
</x:worksheet>
</file>